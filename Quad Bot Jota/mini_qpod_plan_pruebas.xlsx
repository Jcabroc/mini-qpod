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umentos\Jota\jRobot\Robots\Quad Bot Jota\"/>
    </mc:Choice>
  </mc:AlternateContent>
  <xr:revisionPtr revIDLastSave="0" documentId="13_ncr:1_{1ACD1C31-233B-4A77-9322-C8B1C4EEAC5A}" xr6:coauthVersionLast="47" xr6:coauthVersionMax="47" xr10:uidLastSave="{00000000-0000-0000-0000-000000000000}"/>
  <bookViews>
    <workbookView xWindow="6675" yWindow="1785" windowWidth="25080" windowHeight="18060" firstSheet="2" activeTab="2" xr2:uid="{00000000-000D-0000-FFFF-FFFF00000000}"/>
  </bookViews>
  <sheets>
    <sheet name="00_Resumen" sheetId="1" r:id="rId1"/>
    <sheet name="01_Mapa_Pines" sheetId="2" r:id="rId2"/>
    <sheet name="02_Servos_PCA9685" sheetId="3" r:id="rId3"/>
    <sheet name="03_Checklist" sheetId="4" r:id="rId4"/>
    <sheet name="04_Gantt" sheetId="5" r:id="rId5"/>
    <sheet name="05_Riesgos" sheetId="6" r:id="rId6"/>
  </sheets>
  <calcPr calcId="191029"/>
</workbook>
</file>

<file path=xl/calcChain.xml><?xml version="1.0" encoding="utf-8"?>
<calcChain xmlns="http://schemas.openxmlformats.org/spreadsheetml/2006/main">
  <c r="R27" i="5" l="1"/>
  <c r="Q27" i="5"/>
  <c r="N27" i="5"/>
  <c r="M27" i="5"/>
  <c r="J27" i="5"/>
  <c r="I27" i="5"/>
  <c r="G27" i="5"/>
  <c r="AA27" i="5" s="1"/>
  <c r="Z26" i="5"/>
  <c r="V26" i="5"/>
  <c r="R26" i="5"/>
  <c r="N26" i="5"/>
  <c r="J26" i="5"/>
  <c r="G26" i="5"/>
  <c r="X26" i="5" s="1"/>
  <c r="G25" i="5"/>
  <c r="O25" i="5" s="1"/>
  <c r="Y24" i="5"/>
  <c r="X24" i="5"/>
  <c r="V24" i="5"/>
  <c r="U24" i="5"/>
  <c r="T24" i="5"/>
  <c r="Q24" i="5"/>
  <c r="P24" i="5"/>
  <c r="N24" i="5"/>
  <c r="M24" i="5"/>
  <c r="L24" i="5"/>
  <c r="I24" i="5"/>
  <c r="H24" i="5"/>
  <c r="G24" i="5"/>
  <c r="Z24" i="5" s="1"/>
  <c r="AA23" i="5"/>
  <c r="Z23" i="5"/>
  <c r="Y23" i="5"/>
  <c r="V23" i="5"/>
  <c r="U23" i="5"/>
  <c r="T23" i="5"/>
  <c r="S23" i="5"/>
  <c r="R23" i="5"/>
  <c r="Q23" i="5"/>
  <c r="N23" i="5"/>
  <c r="M23" i="5"/>
  <c r="L23" i="5"/>
  <c r="K23" i="5"/>
  <c r="J23" i="5"/>
  <c r="I23" i="5"/>
  <c r="G23" i="5"/>
  <c r="W23" i="5" s="1"/>
  <c r="AA22" i="5"/>
  <c r="Z22" i="5"/>
  <c r="X22" i="5"/>
  <c r="V22" i="5"/>
  <c r="S22" i="5"/>
  <c r="R22" i="5"/>
  <c r="P22" i="5"/>
  <c r="N22" i="5"/>
  <c r="K22" i="5"/>
  <c r="J22" i="5"/>
  <c r="H22" i="5"/>
  <c r="G22" i="5"/>
  <c r="T22" i="5" s="1"/>
  <c r="S21" i="5"/>
  <c r="O21" i="5"/>
  <c r="G21" i="5"/>
  <c r="AA20" i="5"/>
  <c r="Z20" i="5"/>
  <c r="Y20" i="5"/>
  <c r="X20" i="5"/>
  <c r="V20" i="5"/>
  <c r="U20" i="5"/>
  <c r="T20" i="5"/>
  <c r="S20" i="5"/>
  <c r="R20" i="5"/>
  <c r="Q20" i="5"/>
  <c r="P20" i="5"/>
  <c r="N20" i="5"/>
  <c r="M20" i="5"/>
  <c r="L20" i="5"/>
  <c r="K20" i="5"/>
  <c r="J20" i="5"/>
  <c r="I20" i="5"/>
  <c r="H20" i="5"/>
  <c r="G20" i="5"/>
  <c r="W20" i="5" s="1"/>
  <c r="W19" i="5"/>
  <c r="U19" i="5"/>
  <c r="O19" i="5"/>
  <c r="M19" i="5"/>
  <c r="I19" i="5"/>
  <c r="G19" i="5"/>
  <c r="Y19" i="5" s="1"/>
  <c r="Z18" i="5"/>
  <c r="V18" i="5"/>
  <c r="T18" i="5"/>
  <c r="R18" i="5"/>
  <c r="N18" i="5"/>
  <c r="L18" i="5"/>
  <c r="J18" i="5"/>
  <c r="G18" i="5"/>
  <c r="X18" i="5" s="1"/>
  <c r="Y17" i="5"/>
  <c r="W17" i="5"/>
  <c r="S17" i="5"/>
  <c r="Q17" i="5"/>
  <c r="O17" i="5"/>
  <c r="K17" i="5"/>
  <c r="I17" i="5"/>
  <c r="G17" i="5"/>
  <c r="Y16" i="5"/>
  <c r="X16" i="5"/>
  <c r="V16" i="5"/>
  <c r="U16" i="5"/>
  <c r="T16" i="5"/>
  <c r="Q16" i="5"/>
  <c r="P16" i="5"/>
  <c r="N16" i="5"/>
  <c r="M16" i="5"/>
  <c r="L16" i="5"/>
  <c r="I16" i="5"/>
  <c r="H16" i="5"/>
  <c r="G16" i="5"/>
  <c r="R16" i="5" s="1"/>
  <c r="AA15" i="5"/>
  <c r="Z15" i="5"/>
  <c r="Y15" i="5"/>
  <c r="V15" i="5"/>
  <c r="U15" i="5"/>
  <c r="T15" i="5"/>
  <c r="S15" i="5"/>
  <c r="R15" i="5"/>
  <c r="Q15" i="5"/>
  <c r="N15" i="5"/>
  <c r="M15" i="5"/>
  <c r="L15" i="5"/>
  <c r="K15" i="5"/>
  <c r="J15" i="5"/>
  <c r="I15" i="5"/>
  <c r="G15" i="5"/>
  <c r="W15" i="5" s="1"/>
  <c r="AA14" i="5"/>
  <c r="Z14" i="5"/>
  <c r="X14" i="5"/>
  <c r="V14" i="5"/>
  <c r="S14" i="5"/>
  <c r="R14" i="5"/>
  <c r="P14" i="5"/>
  <c r="N14" i="5"/>
  <c r="K14" i="5"/>
  <c r="J14" i="5"/>
  <c r="H14" i="5"/>
  <c r="G14" i="5"/>
  <c r="Y14" i="5" s="1"/>
  <c r="AA13" i="5"/>
  <c r="S13" i="5"/>
  <c r="G13" i="5"/>
  <c r="W13" i="5" s="1"/>
  <c r="AA12" i="5"/>
  <c r="Z12" i="5"/>
  <c r="Y12" i="5"/>
  <c r="X12" i="5"/>
  <c r="V12" i="5"/>
  <c r="U12" i="5"/>
  <c r="T12" i="5"/>
  <c r="S12" i="5"/>
  <c r="R12" i="5"/>
  <c r="Q12" i="5"/>
  <c r="P12" i="5"/>
  <c r="N12" i="5"/>
  <c r="M12" i="5"/>
  <c r="L12" i="5"/>
  <c r="K12" i="5"/>
  <c r="J12" i="5"/>
  <c r="I12" i="5"/>
  <c r="H12" i="5"/>
  <c r="G12" i="5"/>
  <c r="W12" i="5" s="1"/>
  <c r="Y11" i="5"/>
  <c r="O11" i="5"/>
  <c r="M11" i="5"/>
  <c r="G11" i="5"/>
  <c r="Z10" i="5"/>
  <c r="V10" i="5"/>
  <c r="T10" i="5"/>
  <c r="R10" i="5"/>
  <c r="N10" i="5"/>
  <c r="L10" i="5"/>
  <c r="J10" i="5"/>
  <c r="G10" i="5"/>
  <c r="X10" i="5" s="1"/>
  <c r="O9" i="5"/>
  <c r="G9" i="5"/>
  <c r="Y8" i="5"/>
  <c r="X8" i="5"/>
  <c r="V8" i="5"/>
  <c r="U8" i="5"/>
  <c r="T8" i="5"/>
  <c r="Q8" i="5"/>
  <c r="P8" i="5"/>
  <c r="N8" i="5"/>
  <c r="M8" i="5"/>
  <c r="L8" i="5"/>
  <c r="I8" i="5"/>
  <c r="H8" i="5"/>
  <c r="G8" i="5"/>
  <c r="Z8" i="5" s="1"/>
  <c r="AA7" i="5"/>
  <c r="Z7" i="5"/>
  <c r="Y7" i="5"/>
  <c r="V7" i="5"/>
  <c r="U7" i="5"/>
  <c r="T7" i="5"/>
  <c r="S7" i="5"/>
  <c r="R7" i="5"/>
  <c r="Q7" i="5"/>
  <c r="N7" i="5"/>
  <c r="M7" i="5"/>
  <c r="L7" i="5"/>
  <c r="K7" i="5"/>
  <c r="J7" i="5"/>
  <c r="I7" i="5"/>
  <c r="G7" i="5"/>
  <c r="W7" i="5" s="1"/>
  <c r="AA6" i="5"/>
  <c r="Z6" i="5"/>
  <c r="X6" i="5"/>
  <c r="V6" i="5"/>
  <c r="S6" i="5"/>
  <c r="R6" i="5"/>
  <c r="P6" i="5"/>
  <c r="N6" i="5"/>
  <c r="K6" i="5"/>
  <c r="J6" i="5"/>
  <c r="H6" i="5"/>
  <c r="G6" i="5"/>
  <c r="T6" i="5" s="1"/>
  <c r="U5" i="5"/>
  <c r="S5" i="5"/>
  <c r="K5" i="5"/>
  <c r="G5" i="5"/>
  <c r="AA5" i="5" s="1"/>
  <c r="B6" i="4"/>
  <c r="B5" i="4"/>
  <c r="B4" i="4"/>
  <c r="B9" i="4" s="1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U9" i="5" l="1"/>
  <c r="M9" i="5"/>
  <c r="L9" i="5"/>
  <c r="Z9" i="5"/>
  <c r="R9" i="5"/>
  <c r="J9" i="5"/>
  <c r="X9" i="5"/>
  <c r="P9" i="5"/>
  <c r="H9" i="5"/>
  <c r="V9" i="5"/>
  <c r="N9" i="5"/>
  <c r="T9" i="5"/>
  <c r="AA9" i="5"/>
  <c r="M5" i="5"/>
  <c r="S11" i="5"/>
  <c r="J11" i="5"/>
  <c r="Z11" i="5"/>
  <c r="X11" i="5"/>
  <c r="P11" i="5"/>
  <c r="H11" i="5"/>
  <c r="V11" i="5"/>
  <c r="N11" i="5"/>
  <c r="T11" i="5"/>
  <c r="L11" i="5"/>
  <c r="AA11" i="5"/>
  <c r="K11" i="5"/>
  <c r="R11" i="5"/>
  <c r="Y21" i="5"/>
  <c r="Q21" i="5"/>
  <c r="I21" i="5"/>
  <c r="P21" i="5"/>
  <c r="H21" i="5"/>
  <c r="V21" i="5"/>
  <c r="N21" i="5"/>
  <c r="U21" i="5"/>
  <c r="M21" i="5"/>
  <c r="T21" i="5"/>
  <c r="L21" i="5"/>
  <c r="Z21" i="5"/>
  <c r="R21" i="5"/>
  <c r="J21" i="5"/>
  <c r="X21" i="5"/>
  <c r="U25" i="5"/>
  <c r="M25" i="5"/>
  <c r="T25" i="5"/>
  <c r="L25" i="5"/>
  <c r="S25" i="5"/>
  <c r="Z25" i="5"/>
  <c r="R25" i="5"/>
  <c r="J25" i="5"/>
  <c r="Y25" i="5"/>
  <c r="Q25" i="5"/>
  <c r="I25" i="5"/>
  <c r="X25" i="5"/>
  <c r="P25" i="5"/>
  <c r="H25" i="5"/>
  <c r="V25" i="5"/>
  <c r="N25" i="5"/>
  <c r="AA25" i="5"/>
  <c r="K25" i="5"/>
  <c r="I9" i="5"/>
  <c r="U13" i="5"/>
  <c r="O5" i="5"/>
  <c r="K9" i="5"/>
  <c r="I11" i="5"/>
  <c r="Q19" i="5"/>
  <c r="K21" i="5"/>
  <c r="W25" i="5"/>
  <c r="Q9" i="5"/>
  <c r="X13" i="5"/>
  <c r="P13" i="5"/>
  <c r="H13" i="5"/>
  <c r="V13" i="5"/>
  <c r="N13" i="5"/>
  <c r="T13" i="5"/>
  <c r="L13" i="5"/>
  <c r="Z13" i="5"/>
  <c r="R13" i="5"/>
  <c r="J13" i="5"/>
  <c r="Y13" i="5"/>
  <c r="Q13" i="5"/>
  <c r="I13" i="5"/>
  <c r="W5" i="5"/>
  <c r="S9" i="5"/>
  <c r="Q11" i="5"/>
  <c r="K13" i="5"/>
  <c r="M17" i="5"/>
  <c r="L17" i="5"/>
  <c r="Z17" i="5"/>
  <c r="R17" i="5"/>
  <c r="J17" i="5"/>
  <c r="X17" i="5"/>
  <c r="P17" i="5"/>
  <c r="H17" i="5"/>
  <c r="V17" i="5"/>
  <c r="N17" i="5"/>
  <c r="U17" i="5"/>
  <c r="T17" i="5"/>
  <c r="AA17" i="5"/>
  <c r="W21" i="5"/>
  <c r="W9" i="5"/>
  <c r="U11" i="5"/>
  <c r="M13" i="5"/>
  <c r="AA19" i="5"/>
  <c r="X19" i="5"/>
  <c r="P19" i="5"/>
  <c r="H19" i="5"/>
  <c r="V19" i="5"/>
  <c r="N19" i="5"/>
  <c r="T19" i="5"/>
  <c r="L19" i="5"/>
  <c r="S19" i="5"/>
  <c r="K19" i="5"/>
  <c r="Z19" i="5"/>
  <c r="R19" i="5"/>
  <c r="J19" i="5"/>
  <c r="AA21" i="5"/>
  <c r="Y5" i="5"/>
  <c r="Q5" i="5"/>
  <c r="I5" i="5"/>
  <c r="X5" i="5"/>
  <c r="H5" i="5"/>
  <c r="V5" i="5"/>
  <c r="N5" i="5"/>
  <c r="T5" i="5"/>
  <c r="L5" i="5"/>
  <c r="Z5" i="5"/>
  <c r="R5" i="5"/>
  <c r="J5" i="5"/>
  <c r="P5" i="5"/>
  <c r="Y9" i="5"/>
  <c r="W11" i="5"/>
  <c r="O13" i="5"/>
  <c r="O10" i="5"/>
  <c r="O18" i="5"/>
  <c r="W18" i="5"/>
  <c r="L14" i="5"/>
  <c r="T14" i="5"/>
  <c r="O15" i="5"/>
  <c r="J16" i="5"/>
  <c r="Z16" i="5"/>
  <c r="P18" i="5"/>
  <c r="M6" i="5"/>
  <c r="U6" i="5"/>
  <c r="H7" i="5"/>
  <c r="P7" i="5"/>
  <c r="X7" i="5"/>
  <c r="K8" i="5"/>
  <c r="S8" i="5"/>
  <c r="AA8" i="5"/>
  <c r="I10" i="5"/>
  <c r="Q10" i="5"/>
  <c r="Y10" i="5"/>
  <c r="O12" i="5"/>
  <c r="M14" i="5"/>
  <c r="U14" i="5"/>
  <c r="H15" i="5"/>
  <c r="P15" i="5"/>
  <c r="X15" i="5"/>
  <c r="K16" i="5"/>
  <c r="S16" i="5"/>
  <c r="AA16" i="5"/>
  <c r="I18" i="5"/>
  <c r="Q18" i="5"/>
  <c r="Y18" i="5"/>
  <c r="O20" i="5"/>
  <c r="M22" i="5"/>
  <c r="U22" i="5"/>
  <c r="H23" i="5"/>
  <c r="P23" i="5"/>
  <c r="X23" i="5"/>
  <c r="K24" i="5"/>
  <c r="S24" i="5"/>
  <c r="AA24" i="5"/>
  <c r="I26" i="5"/>
  <c r="Q26" i="5"/>
  <c r="Y26" i="5"/>
  <c r="L27" i="5"/>
  <c r="T27" i="5"/>
  <c r="U27" i="5"/>
  <c r="O6" i="5"/>
  <c r="W6" i="5"/>
  <c r="K10" i="5"/>
  <c r="S10" i="5"/>
  <c r="AA10" i="5"/>
  <c r="O14" i="5"/>
  <c r="W14" i="5"/>
  <c r="K18" i="5"/>
  <c r="S18" i="5"/>
  <c r="AA18" i="5"/>
  <c r="O22" i="5"/>
  <c r="W22" i="5"/>
  <c r="K26" i="5"/>
  <c r="S26" i="5"/>
  <c r="AA26" i="5"/>
  <c r="V27" i="5"/>
  <c r="L26" i="5"/>
  <c r="T26" i="5"/>
  <c r="O27" i="5"/>
  <c r="W27" i="5"/>
  <c r="I6" i="5"/>
  <c r="Q6" i="5"/>
  <c r="Y6" i="5"/>
  <c r="O8" i="5"/>
  <c r="W8" i="5"/>
  <c r="M10" i="5"/>
  <c r="U10" i="5"/>
  <c r="I14" i="5"/>
  <c r="Q14" i="5"/>
  <c r="O16" i="5"/>
  <c r="W16" i="5"/>
  <c r="M18" i="5"/>
  <c r="U18" i="5"/>
  <c r="I22" i="5"/>
  <c r="Q22" i="5"/>
  <c r="Y22" i="5"/>
  <c r="O24" i="5"/>
  <c r="W24" i="5"/>
  <c r="M26" i="5"/>
  <c r="U26" i="5"/>
  <c r="H27" i="5"/>
  <c r="P27" i="5"/>
  <c r="X27" i="5"/>
  <c r="Y27" i="5"/>
  <c r="W10" i="5"/>
  <c r="O26" i="5"/>
  <c r="W26" i="5"/>
  <c r="Z27" i="5"/>
  <c r="L6" i="5"/>
  <c r="O7" i="5"/>
  <c r="J8" i="5"/>
  <c r="R8" i="5"/>
  <c r="H10" i="5"/>
  <c r="P10" i="5"/>
  <c r="H18" i="5"/>
  <c r="L22" i="5"/>
  <c r="O23" i="5"/>
  <c r="J24" i="5"/>
  <c r="R24" i="5"/>
  <c r="H26" i="5"/>
  <c r="P26" i="5"/>
  <c r="K27" i="5"/>
  <c r="S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Punto A y B son tus límites observados actuales; revísalos con el robot suspendido antes de apoyar peso.</t>
        </r>
      </text>
    </comment>
    <comment ref="L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Offset inicial sugerido = 0. Ajustar tras calibración real.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Usa la lista desplegable para marcar el estado de cada tarea.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Inicio = día relativo. Cambia estos valores para mover la barra.</t>
        </r>
      </text>
    </comment>
  </commentList>
</comments>
</file>

<file path=xl/sharedStrings.xml><?xml version="1.0" encoding="utf-8"?>
<sst xmlns="http://schemas.openxmlformats.org/spreadsheetml/2006/main" count="754" uniqueCount="409">
  <si>
    <t>Mini Q-Pod · Plan maestro de pruebas e integración</t>
  </si>
  <si>
    <t>Arquitectura definida</t>
  </si>
  <si>
    <t>Bloque</t>
  </si>
  <si>
    <t>Valor</t>
  </si>
  <si>
    <t>Nota</t>
  </si>
  <si>
    <t>Resumen rápido</t>
  </si>
  <si>
    <t>Cerebro / sensores</t>
  </si>
  <si>
    <t>Raspberry Pi Pico</t>
  </si>
  <si>
    <t>Lee sensores y manda comandos al Nano</t>
  </si>
  <si>
    <t>Servos activos mapeados</t>
  </si>
  <si>
    <t>Actuadores / movimiento</t>
  </si>
  <si>
    <t>Arduino Nano</t>
  </si>
  <si>
    <t>Controla PCA9685, servos, buzzer y NRF24</t>
  </si>
  <si>
    <t>Patas</t>
  </si>
  <si>
    <t>Bus de servos</t>
  </si>
  <si>
    <t>6 V dedicados</t>
  </si>
  <si>
    <t>Buck 6 V 20 A solo para V+ de PCA9685 / servos</t>
  </si>
  <si>
    <t>Canales PCA usados</t>
  </si>
  <si>
    <t>CH0–CH12</t>
  </si>
  <si>
    <t>Lógica general</t>
  </si>
  <si>
    <t>5 V</t>
  </si>
  <si>
    <t>Buck 5 V para Nano y Pico; sensores Pico desde 3V3 de la Pico</t>
  </si>
  <si>
    <t>Sensores Pico listados</t>
  </si>
  <si>
    <t>Comunicación Nano ↔ Pico</t>
  </si>
  <si>
    <t>UART</t>
  </si>
  <si>
    <t>Nano D3 → Pico GP5, Nano D2 ← Pico GP4, GND común</t>
  </si>
  <si>
    <t>NRF24</t>
  </si>
  <si>
    <t>3.3 V regulado dedicado</t>
  </si>
  <si>
    <t>Nunca 5 V</t>
  </si>
  <si>
    <t>Detalles críticos a verificar (los pequeños demonios que después tumban robots)</t>
  </si>
  <si>
    <t>Ítem</t>
  </si>
  <si>
    <t>Estado inicial</t>
  </si>
  <si>
    <t>Por qué importa</t>
  </si>
  <si>
    <t>Acción sugerida</t>
  </si>
  <si>
    <t>Divisor o level shifter Nano TX → Pico RX</t>
  </si>
  <si>
    <t>Pendiente confirmar</t>
  </si>
  <si>
    <t>Nano trabaja a 5 V y la Pico no perdona en RX</t>
  </si>
  <si>
    <t>Usar divisor resistivo o level shifter unidireccional</t>
  </si>
  <si>
    <t>GND común en estrella</t>
  </si>
  <si>
    <t>Debe existir</t>
  </si>
  <si>
    <t>Sin masa común, la UART y los servos se vuelven poesía abstracta</t>
  </si>
  <si>
    <t>Unir GND de bucks, Nano, Pico, PCA9685 y NRF</t>
  </si>
  <si>
    <t>BMS / corte por bajo voltaje del pack 3S</t>
  </si>
  <si>
    <t>Protege celdas 21700 y evita descarga profunda</t>
  </si>
  <si>
    <t>Verificar BMS o alarma/cutoff de 3S</t>
  </si>
  <si>
    <t>Fusible principal y switch general</t>
  </si>
  <si>
    <t>Un corto sin fusible es un tutorial de humo</t>
  </si>
  <si>
    <t>Agregar fusible automotriz/portafusible y switch maestro</t>
  </si>
  <si>
    <t>Capacitor grande en línea de servos</t>
  </si>
  <si>
    <t>Recomendado</t>
  </si>
  <si>
    <t>Reduce caídas de tensión y picos al arrancar servos</t>
  </si>
  <si>
    <t>470–2200 µF cerca de PCA9685 V+ y GND</t>
  </si>
  <si>
    <t>Capacitor cerca del NRF24</t>
  </si>
  <si>
    <t>El nRF24 suele caer por picos de corriente</t>
  </si>
  <si>
    <t>10–47 µF entre VCC y GND del módulo</t>
  </si>
  <si>
    <t>Separación de alimentación USB / buck</t>
  </si>
  <si>
    <t>Evita backfeeding cuando programes por USB</t>
  </si>
  <si>
    <t>No mezclar 5 V USB con buck sin revisar caminos</t>
  </si>
  <si>
    <t>Canales OFF al encender</t>
  </si>
  <si>
    <t>Muy recomendado</t>
  </si>
  <si>
    <t>Evita tirones al arranque</t>
  </si>
  <si>
    <t>Mantener PCA9685 en OFF hasta comando explícito</t>
  </si>
  <si>
    <t>Medición de corriente real en postura</t>
  </si>
  <si>
    <t>Pendiente</t>
  </si>
  <si>
    <t>Verifica margen del buck y cableado antes del gait</t>
  </si>
  <si>
    <t>Medir consumo en reposo y con 1–2 patas en carga</t>
  </si>
  <si>
    <t>Orden recomendado de trabajo</t>
  </si>
  <si>
    <t>1. Nano + PCA9685 + un servo → validar señal y alimentación</t>
  </si>
  <si>
    <t>2. Calibrar todos los servos y confirmar límites mecánicos</t>
  </si>
  <si>
    <t>3. Postura base estable con el robot apoyado o suspendido</t>
  </si>
  <si>
    <t>4. Pico sola: sensores uno por uno</t>
  </si>
  <si>
    <t>5. UART Pico ↔ Nano con comandos PING / CENTER / STAND</t>
  </si>
  <si>
    <t>6. Movimientos simples por pata</t>
  </si>
  <si>
    <t>7. Secuencias cortas de apoyo</t>
  </si>
  <si>
    <t>8. Primer gait lento, amplitud corta y consumo medido</t>
  </si>
  <si>
    <t>Mapa de pines y conexiones</t>
  </si>
  <si>
    <t>Alimentación</t>
  </si>
  <si>
    <t>UART Nano ↔ Pico</t>
  </si>
  <si>
    <t>Elemento</t>
  </si>
  <si>
    <t>Voltaje</t>
  </si>
  <si>
    <t>Fuente</t>
  </si>
  <si>
    <t>Notas</t>
  </si>
  <si>
    <t>Función</t>
  </si>
  <si>
    <t>Nano</t>
  </si>
  <si>
    <t>Pico</t>
  </si>
  <si>
    <t>Nivel</t>
  </si>
  <si>
    <t>Servos MG90</t>
  </si>
  <si>
    <t>6 V</t>
  </si>
  <si>
    <t>Buck 6 V 20 A</t>
  </si>
  <si>
    <t>Directo a PCA9685 V+</t>
  </si>
  <si>
    <t>TX Nano → RX Pico</t>
  </si>
  <si>
    <t>D3</t>
  </si>
  <si>
    <t>GP5</t>
  </si>
  <si>
    <t>5 V → 3.3 V</t>
  </si>
  <si>
    <t>Usar divisor/level shifter recomendado</t>
  </si>
  <si>
    <t>PCA9685 lógica</t>
  </si>
  <si>
    <t>Solo lógica I2C</t>
  </si>
  <si>
    <t>RX Nano ← TX Pico</t>
  </si>
  <si>
    <t>D2</t>
  </si>
  <si>
    <t>GP4</t>
  </si>
  <si>
    <t>3.3 V → 5 V</t>
  </si>
  <si>
    <t>Normalmente válido para Nano</t>
  </si>
  <si>
    <t>Buck 5 V</t>
  </si>
  <si>
    <t>Entrando por pin 5V</t>
  </si>
  <si>
    <t>GND común</t>
  </si>
  <si>
    <t>GND</t>
  </si>
  <si>
    <t>—</t>
  </si>
  <si>
    <t>Obligatorio</t>
  </si>
  <si>
    <t>Entrando por VSYS</t>
  </si>
  <si>
    <t>NRF24L01</t>
  </si>
  <si>
    <t>3.3 V</t>
  </si>
  <si>
    <t>Regulador dedicado</t>
  </si>
  <si>
    <t>Sensores de la Pico</t>
  </si>
  <si>
    <t>Pin 3V3 de la Pico</t>
  </si>
  <si>
    <t>Solo sensores ligeros</t>
  </si>
  <si>
    <t>Sensores conectados a la Pico</t>
  </si>
  <si>
    <t>Nano · estado / actuadores / radio</t>
  </si>
  <si>
    <t>Sensor</t>
  </si>
  <si>
    <t>Pin Pico</t>
  </si>
  <si>
    <t>Tipo</t>
  </si>
  <si>
    <t>Pin Nano</t>
  </si>
  <si>
    <t>Bus</t>
  </si>
  <si>
    <t>MPU6050 SDA</t>
  </si>
  <si>
    <t>GP0</t>
  </si>
  <si>
    <t>IMU / I2C</t>
  </si>
  <si>
    <t>Buzzer pasivo</t>
  </si>
  <si>
    <t>D6</t>
  </si>
  <si>
    <t>GPIO/PWM</t>
  </si>
  <si>
    <t>MPU6050 SCL</t>
  </si>
  <si>
    <t>GP1</t>
  </si>
  <si>
    <t>LED radio</t>
  </si>
  <si>
    <t>D5</t>
  </si>
  <si>
    <t>GPIO</t>
  </si>
  <si>
    <t>Sonar TRIG</t>
  </si>
  <si>
    <t>GP2</t>
  </si>
  <si>
    <t>HC-SR04</t>
  </si>
  <si>
    <t>PCA9685 SDA</t>
  </si>
  <si>
    <t>A4</t>
  </si>
  <si>
    <t>I2C</t>
  </si>
  <si>
    <t>Lógica 5 V desde Nano</t>
  </si>
  <si>
    <t>Sonar ECHO</t>
  </si>
  <si>
    <t>GP3</t>
  </si>
  <si>
    <t>Divisor</t>
  </si>
  <si>
    <t>No entrar directo a 5 V</t>
  </si>
  <si>
    <t>PCA9685 SCL</t>
  </si>
  <si>
    <t>A5</t>
  </si>
  <si>
    <t>DHT</t>
  </si>
  <si>
    <t>GP6</t>
  </si>
  <si>
    <t>Temperatura / humedad</t>
  </si>
  <si>
    <t>NRF24 CE</t>
  </si>
  <si>
    <t>D9</t>
  </si>
  <si>
    <t>Impacto</t>
  </si>
  <si>
    <t>GP7</t>
  </si>
  <si>
    <t>KY-031</t>
  </si>
  <si>
    <t>NRF24 CSN</t>
  </si>
  <si>
    <t>D10</t>
  </si>
  <si>
    <t>SPI</t>
  </si>
  <si>
    <t>Touch</t>
  </si>
  <si>
    <t>GP9</t>
  </si>
  <si>
    <t>TTP223</t>
  </si>
  <si>
    <t>NRF24 MOSI</t>
  </si>
  <si>
    <t>D11</t>
  </si>
  <si>
    <t>Mini PIR</t>
  </si>
  <si>
    <t>GP10</t>
  </si>
  <si>
    <t>Movimiento</t>
  </si>
  <si>
    <t>NRF24 MISO</t>
  </si>
  <si>
    <t>D12</t>
  </si>
  <si>
    <t>LDR Izq</t>
  </si>
  <si>
    <t>GP26 ADC0</t>
  </si>
  <si>
    <t>Fotoresistor</t>
  </si>
  <si>
    <t>NRF24 SCK</t>
  </si>
  <si>
    <t>D13</t>
  </si>
  <si>
    <t>LDR Der</t>
  </si>
  <si>
    <t>GP27 ADC1</t>
  </si>
  <si>
    <t>NRF24 VCC</t>
  </si>
  <si>
    <t>LED RGB (controlado por Pico)</t>
  </si>
  <si>
    <t>Color</t>
  </si>
  <si>
    <t>Pin</t>
  </si>
  <si>
    <t>Resistencia</t>
  </si>
  <si>
    <t>Controlador</t>
  </si>
  <si>
    <t>Uso</t>
  </si>
  <si>
    <t>Rojo</t>
  </si>
  <si>
    <t>GP14</t>
  </si>
  <si>
    <t>330 Ω</t>
  </si>
  <si>
    <t>Estado / error</t>
  </si>
  <si>
    <t>Verde</t>
  </si>
  <si>
    <t>GP15</t>
  </si>
  <si>
    <t>OK / listo</t>
  </si>
  <si>
    <t>Azul</t>
  </si>
  <si>
    <t>GP16</t>
  </si>
  <si>
    <t>220 Ω</t>
  </si>
  <si>
    <t>modo / actividad</t>
  </si>
  <si>
    <t>Mapa de servos, rangos y calibración</t>
  </si>
  <si>
    <t>Pata</t>
  </si>
  <si>
    <t>Segmento</t>
  </si>
  <si>
    <t>Canal</t>
  </si>
  <si>
    <t>70°</t>
  </si>
  <si>
    <t>90°</t>
  </si>
  <si>
    <t>110°</t>
  </si>
  <si>
    <t>Longitud (mm)</t>
  </si>
  <si>
    <t>Punto A</t>
  </si>
  <si>
    <t>Centro</t>
  </si>
  <si>
    <t>Punto B</t>
  </si>
  <si>
    <t>Invertido</t>
  </si>
  <si>
    <t>Offset</t>
  </si>
  <si>
    <t>Mín seguro</t>
  </si>
  <si>
    <t>Máx seguro</t>
  </si>
  <si>
    <t>Probado</t>
  </si>
  <si>
    <t>L1</t>
  </si>
  <si>
    <t>COAX</t>
  </si>
  <si>
    <t>CH0</t>
  </si>
  <si>
    <t>ADELANTE</t>
  </si>
  <si>
    <t>CENTRO</t>
  </si>
  <si>
    <t>ATRÁS</t>
  </si>
  <si>
    <t>No</t>
  </si>
  <si>
    <t>FEMUR</t>
  </si>
  <si>
    <t>CH1</t>
  </si>
  <si>
    <t>ABAJO</t>
  </si>
  <si>
    <t>ARRIBA</t>
  </si>
  <si>
    <t>TIBIA</t>
  </si>
  <si>
    <t>CH2</t>
  </si>
  <si>
    <t>R1</t>
  </si>
  <si>
    <t>CH3</t>
  </si>
  <si>
    <t>CH4</t>
  </si>
  <si>
    <t>Sí</t>
  </si>
  <si>
    <t>CH5</t>
  </si>
  <si>
    <t>L2</t>
  </si>
  <si>
    <t>CH6</t>
  </si>
  <si>
    <t>CH7</t>
  </si>
  <si>
    <t>CH8</t>
  </si>
  <si>
    <t>R2</t>
  </si>
  <si>
    <t>CH9</t>
  </si>
  <si>
    <t>CH10</t>
  </si>
  <si>
    <t>CH11</t>
  </si>
  <si>
    <t>CUELLO</t>
  </si>
  <si>
    <t>CH12</t>
  </si>
  <si>
    <t>DERECHA</t>
  </si>
  <si>
    <t>IZQUIERDA</t>
  </si>
  <si>
    <t>87 desde centro</t>
  </si>
  <si>
    <t>Checklist maestro de pruebas</t>
  </si>
  <si>
    <t>Métrica</t>
  </si>
  <si>
    <t>Total tareas</t>
  </si>
  <si>
    <t>Completadas</t>
  </si>
  <si>
    <t>En prueba</t>
  </si>
  <si>
    <t>ID</t>
  </si>
  <si>
    <t>Fase</t>
  </si>
  <si>
    <t>Tarea</t>
  </si>
  <si>
    <t>Responsable</t>
  </si>
  <si>
    <t>Duración estimada</t>
  </si>
  <si>
    <t>Dependencia</t>
  </si>
  <si>
    <t>Estado</t>
  </si>
  <si>
    <t>Fecha</t>
  </si>
  <si>
    <t>Resultado / criterio de OK</t>
  </si>
  <si>
    <t>Riesgo</t>
  </si>
  <si>
    <t>A1</t>
  </si>
  <si>
    <t>Confirmar polaridad y voltajes de ambos bucks sin carga</t>
  </si>
  <si>
    <t>HW</t>
  </si>
  <si>
    <t>15 min</t>
  </si>
  <si>
    <t>Nano/Pico en voltaje correcto</t>
  </si>
  <si>
    <t>Medio</t>
  </si>
  <si>
    <t>A2</t>
  </si>
  <si>
    <t>Confirmar GND común entre bucks, Nano, Pico, PCA y NRF</t>
  </si>
  <si>
    <t>10 min</t>
  </si>
  <si>
    <t>Continuidad OK</t>
  </si>
  <si>
    <t>Alto</t>
  </si>
  <si>
    <t>A3</t>
  </si>
  <si>
    <t>Verificar divisor o level shifter Nano→Pico</t>
  </si>
  <si>
    <t>20 min</t>
  </si>
  <si>
    <t>RX Pico protegido</t>
  </si>
  <si>
    <t>Confirmar BMS/corte bajo voltaje/fusible/switch maestro</t>
  </si>
  <si>
    <t>Protección definida</t>
  </si>
  <si>
    <t>N1</t>
  </si>
  <si>
    <t>Subir nano_00_test_serial</t>
  </si>
  <si>
    <t>Arranque estable por Serial</t>
  </si>
  <si>
    <t>Bajo</t>
  </si>
  <si>
    <t>N2</t>
  </si>
  <si>
    <t>Inicializar PCA9685 con todos los canales OFF</t>
  </si>
  <si>
    <t>Sin tirones al encender</t>
  </si>
  <si>
    <t>N3</t>
  </si>
  <si>
    <t>Probar CH0 con 1 servo suspendido</t>
  </si>
  <si>
    <t>Movimiento suave y retorno</t>
  </si>
  <si>
    <t>N4</t>
  </si>
  <si>
    <t>Probar todos los canales CH0–CH12 uno por uno</t>
  </si>
  <si>
    <t>60 min</t>
  </si>
  <si>
    <t>Todos responden</t>
  </si>
  <si>
    <t>N5</t>
  </si>
  <si>
    <t>Ajustar offsets, inversión y límites seguros</t>
  </si>
  <si>
    <t>90 min</t>
  </si>
  <si>
    <t>Tabla de servos actualizada</t>
  </si>
  <si>
    <t>N6</t>
  </si>
  <si>
    <t>Crear postura base / center / stand</t>
  </si>
  <si>
    <t>45 min</t>
  </si>
  <si>
    <t>Robot quieto y simétrico</t>
  </si>
  <si>
    <t>P1</t>
  </si>
  <si>
    <t>Subir pico_00_test_base</t>
  </si>
  <si>
    <t>Serial USB OK</t>
  </si>
  <si>
    <t>P2</t>
  </si>
  <si>
    <t>Probar IMU MPU6050</t>
  </si>
  <si>
    <t>Lectura estable</t>
  </si>
  <si>
    <t>P3</t>
  </si>
  <si>
    <t>Probar HC-SR04 (TRIG/ECHO con divisor)</t>
  </si>
  <si>
    <t>Distancia coherente</t>
  </si>
  <si>
    <t>P4</t>
  </si>
  <si>
    <t>Probar DHT</t>
  </si>
  <si>
    <t>Lectura de temperatura/humedad</t>
  </si>
  <si>
    <t>P5</t>
  </si>
  <si>
    <t>Probar impacto, touch, PIR y LDR</t>
  </si>
  <si>
    <t>30 min</t>
  </si>
  <si>
    <t>Todos los sensores cambian de estado</t>
  </si>
  <si>
    <t>N7</t>
  </si>
  <si>
    <t>Probar NRF24 en Nano con regulador dedicado</t>
  </si>
  <si>
    <t>Ping/radio estable</t>
  </si>
  <si>
    <t>I1</t>
  </si>
  <si>
    <t>Integración</t>
  </si>
  <si>
    <t>PING Pico→Nano y respuesta OK</t>
  </si>
  <si>
    <t>N1,P1,A3</t>
  </si>
  <si>
    <t>UART estable</t>
  </si>
  <si>
    <t>I2</t>
  </si>
  <si>
    <t>Comando CENTER desde Pico</t>
  </si>
  <si>
    <t>I1,N5</t>
  </si>
  <si>
    <t>Todos al centro por comando</t>
  </si>
  <si>
    <t>I3</t>
  </si>
  <si>
    <t>Comando STAND desde Pico</t>
  </si>
  <si>
    <t>I2,N6</t>
  </si>
  <si>
    <t>Postura base por comando</t>
  </si>
  <si>
    <t>I4</t>
  </si>
  <si>
    <t>Mover una pata individual por comando</t>
  </si>
  <si>
    <t>FL/R1/etc responden sin vibrar</t>
  </si>
  <si>
    <t>I5</t>
  </si>
  <si>
    <t>Medir corriente en postura y microsecuencias</t>
  </si>
  <si>
    <t>Sin brownout / buck holgado</t>
  </si>
  <si>
    <t>G1</t>
  </si>
  <si>
    <t>Gait</t>
  </si>
  <si>
    <t>Secuencia corta de apoyo sin desplazamiento</t>
  </si>
  <si>
    <t>Estabilidad básica</t>
  </si>
  <si>
    <t>G2</t>
  </si>
  <si>
    <t>Primer paso lento con amplitud corta</t>
  </si>
  <si>
    <t>Sin choque ni caída</t>
  </si>
  <si>
    <t>G3</t>
  </si>
  <si>
    <t>Afinar velocidad, altura y consumo</t>
  </si>
  <si>
    <t>Camina repetible</t>
  </si>
  <si>
    <t>Cronograma tipo Gantt (editable)</t>
  </si>
  <si>
    <t>Edita Inicio (día) y Duración. Las barras se recalculan al abrir en Excel.</t>
  </si>
  <si>
    <t>Inicio</t>
  </si>
  <si>
    <t>Duración</t>
  </si>
  <si>
    <t>Fin</t>
  </si>
  <si>
    <t>D1</t>
  </si>
  <si>
    <t>D4</t>
  </si>
  <si>
    <t>D7</t>
  </si>
  <si>
    <t>D8</t>
  </si>
  <si>
    <t>D14</t>
  </si>
  <si>
    <t>D15</t>
  </si>
  <si>
    <t>D16</t>
  </si>
  <si>
    <t>D17</t>
  </si>
  <si>
    <t>D18</t>
  </si>
  <si>
    <t>D19</t>
  </si>
  <si>
    <t>D20</t>
  </si>
  <si>
    <t>Voltajes bucks</t>
  </si>
  <si>
    <t>Divisor Nano→Pico</t>
  </si>
  <si>
    <t>Serial base</t>
  </si>
  <si>
    <t>PCA OFF</t>
  </si>
  <si>
    <t>1 servo CH0</t>
  </si>
  <si>
    <t>Todos los servos</t>
  </si>
  <si>
    <t>Offsets / límites</t>
  </si>
  <si>
    <t>Postura base</t>
  </si>
  <si>
    <t>Base serial</t>
  </si>
  <si>
    <t>IMU</t>
  </si>
  <si>
    <t>Sonar</t>
  </si>
  <si>
    <t>Resto sensores</t>
  </si>
  <si>
    <t>PING UART</t>
  </si>
  <si>
    <t>CENTER</t>
  </si>
  <si>
    <t>STAND</t>
  </si>
  <si>
    <t>Mover una pata</t>
  </si>
  <si>
    <t>Medir corriente</t>
  </si>
  <si>
    <t>Secuencia apoyo</t>
  </si>
  <si>
    <t>Primer paso lento</t>
  </si>
  <si>
    <t>Afinado inicial</t>
  </si>
  <si>
    <t>Riesgos, síntomas y antídotos</t>
  </si>
  <si>
    <t>Síntoma</t>
  </si>
  <si>
    <t>Causa probable</t>
  </si>
  <si>
    <t>Mitigación</t>
  </si>
  <si>
    <t>Prioridad</t>
  </si>
  <si>
    <t>¿Verificado?</t>
  </si>
  <si>
    <t>Brownout del Nano/Pico al mover servos</t>
  </si>
  <si>
    <t>Reinicio o Serial cortado</t>
  </si>
  <si>
    <t>Caída de tensión o masa mal distribuida</t>
  </si>
  <si>
    <t>Capacitor, buck con margen, masas en estrella, medir consumo</t>
  </si>
  <si>
    <t>Alta</t>
  </si>
  <si>
    <t>NRF24 inestable</t>
  </si>
  <si>
    <t>No enlaza o pierde paquetes</t>
  </si>
  <si>
    <t>Picos de corriente / mala alimentación</t>
  </si>
  <si>
    <t>Regulador dedicado + capacitor 10–47 µF</t>
  </si>
  <si>
    <t>Media</t>
  </si>
  <si>
    <t>Servo invertido o fuera de rango</t>
  </si>
  <si>
    <t>Golpe mecánico o vibración</t>
  </si>
  <si>
    <t>Offsets/límites mal cargados</t>
  </si>
  <si>
    <t>Suspender robot y validar canal por canal</t>
  </si>
  <si>
    <t>Lectura falsa del HC-SR04</t>
  </si>
  <si>
    <t>Distancias absurdas</t>
  </si>
  <si>
    <t>ECHO sin divisor o ruido eléctrico</t>
  </si>
  <si>
    <t>Divisor correcto y masa común</t>
  </si>
  <si>
    <t>Daño en RX de Pico</t>
  </si>
  <si>
    <t>Comunicación muerta</t>
  </si>
  <si>
    <t>5 V directo desde Nano TX</t>
  </si>
  <si>
    <t>Divisor/level shifter obligatorio</t>
  </si>
  <si>
    <t>Backfeeding por USB</t>
  </si>
  <si>
    <t>Comportamiento raro al programar</t>
  </si>
  <si>
    <t>5 V USB y buck empujando a la vez</t>
  </si>
  <si>
    <t>Revisar rutas de 5 V y secuencia de conexión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</si>
</sst>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b/>
      <sz val="15"/>
      <color rgb="FFFFFFFF"/>
      <name val="Calibri"/>
    </font>
    <font>
      <i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D9F3F0"/>
      </patternFill>
    </fill>
    <fill>
      <patternFill patternType="solid">
        <fgColor rgb="FFECE1FF"/>
      </patternFill>
    </fill>
    <fill>
      <patternFill patternType="solid">
        <fgColor rgb="FFE5E7EB"/>
      </patternFill>
    </fill>
    <fill>
      <patternFill patternType="solid">
        <fgColor rgb="FFFFF4C2"/>
      </patternFill>
    </fill>
    <fill>
      <patternFill patternType="solid">
        <fgColor rgb="FFFFE5CC"/>
      </patternFill>
    </fill>
    <fill>
      <patternFill patternType="solid">
        <fgColor rgb="FFFDE2E1"/>
      </patternFill>
    </fill>
    <fill>
      <patternFill patternType="solid">
        <fgColor rgb="FFC6EFCE"/>
      </patternFill>
    </fill>
    <fill>
      <patternFill patternType="solid">
        <fgColor rgb="FFFCE5CD"/>
      </patternFill>
    </fill>
    <fill>
      <patternFill patternType="solid">
        <fgColor rgb="FFDDF4DE"/>
      </patternFill>
    </fill>
    <fill>
      <patternFill patternType="solid">
        <fgColor rgb="FFDCEBFF"/>
      </patternFill>
    </fill>
    <fill>
      <patternFill patternType="solid">
        <fgColor rgb="FFFDE9D9"/>
      </patternFill>
    </fill>
    <fill>
      <patternFill patternType="solid">
        <fgColor rgb="FFDCE6F1"/>
      </patternFill>
    </fill>
    <fill>
      <patternFill patternType="solid">
        <fgColor rgb="FFF9E79F"/>
      </patternFill>
    </fill>
    <fill>
      <patternFill patternType="solid">
        <fgColor rgb="FFD9E2F3"/>
      </patternFill>
    </fill>
    <fill>
      <patternFill patternType="solid">
        <fgColor rgb="FFEFE5D0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5" fillId="6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3" fillId="3" borderId="0" xfId="0" applyFont="1" applyFill="1"/>
    <xf numFmtId="0" fontId="4" fillId="6" borderId="1" xfId="0" applyFont="1" applyFill="1" applyBorder="1"/>
    <xf numFmtId="0" fontId="0" fillId="0" borderId="1" xfId="0" applyBorder="1"/>
    <xf numFmtId="0" fontId="4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19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/>
    <xf numFmtId="0" fontId="6" fillId="2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rgb="FF4F81BD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1" width="24" customWidth="1"/>
    <col min="2" max="2" width="26" customWidth="1"/>
    <col min="3" max="3" width="38" customWidth="1"/>
    <col min="4" max="4" width="20" customWidth="1"/>
    <col min="5" max="7" width="18" customWidth="1"/>
    <col min="8" max="8" width="20" customWidth="1"/>
  </cols>
  <sheetData>
    <row r="1" spans="1:8" ht="21" x14ac:dyDescent="0.25">
      <c r="A1" s="35" t="s">
        <v>0</v>
      </c>
      <c r="B1" s="34"/>
      <c r="C1" s="34"/>
      <c r="D1" s="34"/>
      <c r="E1" s="34"/>
      <c r="F1" s="34"/>
      <c r="G1" s="34"/>
      <c r="H1" s="34"/>
    </row>
    <row r="3" spans="1:8" ht="15.75" x14ac:dyDescent="0.25">
      <c r="A3" s="36" t="s">
        <v>1</v>
      </c>
      <c r="B3" s="34"/>
      <c r="C3" s="34"/>
      <c r="D3" s="34"/>
      <c r="E3" s="34"/>
      <c r="F3" s="34"/>
      <c r="G3" s="34"/>
      <c r="H3" s="34"/>
    </row>
    <row r="4" spans="1:8" x14ac:dyDescent="0.25">
      <c r="A4" s="1" t="s">
        <v>2</v>
      </c>
      <c r="B4" s="1" t="s">
        <v>3</v>
      </c>
      <c r="C4" s="1" t="s">
        <v>4</v>
      </c>
      <c r="E4" s="37" t="s">
        <v>5</v>
      </c>
      <c r="F4" s="34"/>
      <c r="G4" s="34"/>
      <c r="H4" s="34"/>
    </row>
    <row r="5" spans="1:8" x14ac:dyDescent="0.25">
      <c r="A5" s="2" t="s">
        <v>6</v>
      </c>
      <c r="B5" s="2" t="s">
        <v>7</v>
      </c>
      <c r="C5" s="2" t="s">
        <v>8</v>
      </c>
      <c r="E5" s="3" t="s">
        <v>9</v>
      </c>
      <c r="F5" s="4">
        <v>13</v>
      </c>
    </row>
    <row r="6" spans="1:8" ht="30" x14ac:dyDescent="0.25">
      <c r="A6" s="2" t="s">
        <v>10</v>
      </c>
      <c r="B6" s="2" t="s">
        <v>11</v>
      </c>
      <c r="C6" s="2" t="s">
        <v>12</v>
      </c>
      <c r="E6" s="3" t="s">
        <v>13</v>
      </c>
      <c r="F6" s="4">
        <v>4</v>
      </c>
    </row>
    <row r="7" spans="1:8" ht="30" x14ac:dyDescent="0.25">
      <c r="A7" s="2" t="s">
        <v>14</v>
      </c>
      <c r="B7" s="2" t="s">
        <v>15</v>
      </c>
      <c r="C7" s="2" t="s">
        <v>16</v>
      </c>
      <c r="E7" s="3" t="s">
        <v>17</v>
      </c>
      <c r="F7" s="4" t="s">
        <v>18</v>
      </c>
    </row>
    <row r="8" spans="1:8" ht="30" x14ac:dyDescent="0.25">
      <c r="A8" s="2" t="s">
        <v>19</v>
      </c>
      <c r="B8" s="2" t="s">
        <v>20</v>
      </c>
      <c r="C8" s="2" t="s">
        <v>21</v>
      </c>
      <c r="E8" s="3" t="s">
        <v>22</v>
      </c>
      <c r="F8" s="4">
        <v>9</v>
      </c>
    </row>
    <row r="9" spans="1:8" ht="30" x14ac:dyDescent="0.25">
      <c r="A9" s="2" t="s">
        <v>23</v>
      </c>
      <c r="B9" s="2" t="s">
        <v>24</v>
      </c>
      <c r="C9" s="2" t="s">
        <v>25</v>
      </c>
    </row>
    <row r="10" spans="1:8" x14ac:dyDescent="0.25">
      <c r="A10" s="2" t="s">
        <v>26</v>
      </c>
      <c r="B10" s="2" t="s">
        <v>27</v>
      </c>
      <c r="C10" s="2" t="s">
        <v>28</v>
      </c>
    </row>
    <row r="12" spans="1:8" ht="15.75" x14ac:dyDescent="0.25">
      <c r="A12" s="36" t="s">
        <v>29</v>
      </c>
      <c r="B12" s="34"/>
      <c r="C12" s="34"/>
      <c r="D12" s="34"/>
      <c r="E12" s="34"/>
      <c r="F12" s="34"/>
      <c r="G12" s="34"/>
      <c r="H12" s="34"/>
    </row>
    <row r="13" spans="1:8" x14ac:dyDescent="0.25">
      <c r="A13" s="5" t="s">
        <v>30</v>
      </c>
      <c r="B13" s="5" t="s">
        <v>31</v>
      </c>
      <c r="C13" s="5" t="s">
        <v>32</v>
      </c>
      <c r="D13" s="5" t="s">
        <v>33</v>
      </c>
    </row>
    <row r="14" spans="1:8" ht="45" x14ac:dyDescent="0.25">
      <c r="A14" s="2" t="s">
        <v>34</v>
      </c>
      <c r="B14" s="6" t="s">
        <v>35</v>
      </c>
      <c r="C14" s="2" t="s">
        <v>36</v>
      </c>
      <c r="D14" s="2" t="s">
        <v>37</v>
      </c>
    </row>
    <row r="15" spans="1:8" ht="45" x14ac:dyDescent="0.25">
      <c r="A15" s="2" t="s">
        <v>38</v>
      </c>
      <c r="B15" s="7" t="s">
        <v>39</v>
      </c>
      <c r="C15" s="2" t="s">
        <v>40</v>
      </c>
      <c r="D15" s="2" t="s">
        <v>41</v>
      </c>
    </row>
    <row r="16" spans="1:8" ht="30" x14ac:dyDescent="0.25">
      <c r="A16" s="2" t="s">
        <v>42</v>
      </c>
      <c r="B16" s="6" t="s">
        <v>35</v>
      </c>
      <c r="C16" s="2" t="s">
        <v>43</v>
      </c>
      <c r="D16" s="2" t="s">
        <v>44</v>
      </c>
    </row>
    <row r="17" spans="1:8" ht="45" x14ac:dyDescent="0.25">
      <c r="A17" s="2" t="s">
        <v>45</v>
      </c>
      <c r="B17" s="6" t="s">
        <v>35</v>
      </c>
      <c r="C17" s="2" t="s">
        <v>46</v>
      </c>
      <c r="D17" s="2" t="s">
        <v>47</v>
      </c>
    </row>
    <row r="18" spans="1:8" ht="30" x14ac:dyDescent="0.25">
      <c r="A18" s="2" t="s">
        <v>48</v>
      </c>
      <c r="B18" s="8" t="s">
        <v>49</v>
      </c>
      <c r="C18" s="2" t="s">
        <v>50</v>
      </c>
      <c r="D18" s="2" t="s">
        <v>51</v>
      </c>
    </row>
    <row r="19" spans="1:8" ht="30" x14ac:dyDescent="0.25">
      <c r="A19" s="2" t="s">
        <v>52</v>
      </c>
      <c r="B19" s="8" t="s">
        <v>49</v>
      </c>
      <c r="C19" s="2" t="s">
        <v>53</v>
      </c>
      <c r="D19" s="2" t="s">
        <v>54</v>
      </c>
    </row>
    <row r="20" spans="1:8" ht="45" x14ac:dyDescent="0.25">
      <c r="A20" s="2" t="s">
        <v>55</v>
      </c>
      <c r="B20" s="6" t="s">
        <v>35</v>
      </c>
      <c r="C20" s="2" t="s">
        <v>56</v>
      </c>
      <c r="D20" s="2" t="s">
        <v>57</v>
      </c>
    </row>
    <row r="21" spans="1:8" ht="45" x14ac:dyDescent="0.25">
      <c r="A21" s="2" t="s">
        <v>58</v>
      </c>
      <c r="B21" s="7" t="s">
        <v>59</v>
      </c>
      <c r="C21" s="2" t="s">
        <v>60</v>
      </c>
      <c r="D21" s="2" t="s">
        <v>61</v>
      </c>
    </row>
    <row r="22" spans="1:8" ht="45" x14ac:dyDescent="0.25">
      <c r="A22" s="2" t="s">
        <v>62</v>
      </c>
      <c r="B22" s="6" t="s">
        <v>63</v>
      </c>
      <c r="C22" s="2" t="s">
        <v>64</v>
      </c>
      <c r="D22" s="2" t="s">
        <v>65</v>
      </c>
    </row>
    <row r="25" spans="1:8" ht="15.75" x14ac:dyDescent="0.25">
      <c r="A25" s="36" t="s">
        <v>66</v>
      </c>
      <c r="B25" s="34"/>
      <c r="C25" s="34"/>
      <c r="D25" s="34"/>
      <c r="E25" s="34"/>
      <c r="F25" s="34"/>
      <c r="G25" s="34"/>
      <c r="H25" s="34"/>
    </row>
    <row r="26" spans="1:8" x14ac:dyDescent="0.25">
      <c r="A26" s="33" t="s">
        <v>67</v>
      </c>
      <c r="B26" s="34"/>
      <c r="C26" s="34"/>
      <c r="D26" s="34"/>
      <c r="E26" s="34"/>
      <c r="F26" s="34"/>
      <c r="G26" s="34"/>
      <c r="H26" s="34"/>
    </row>
    <row r="27" spans="1:8" x14ac:dyDescent="0.25">
      <c r="A27" s="33" t="s">
        <v>68</v>
      </c>
      <c r="B27" s="34"/>
      <c r="C27" s="34"/>
      <c r="D27" s="34"/>
      <c r="E27" s="34"/>
      <c r="F27" s="34"/>
      <c r="G27" s="34"/>
      <c r="H27" s="34"/>
    </row>
    <row r="28" spans="1:8" x14ac:dyDescent="0.25">
      <c r="A28" s="33" t="s">
        <v>69</v>
      </c>
      <c r="B28" s="34"/>
      <c r="C28" s="34"/>
      <c r="D28" s="34"/>
      <c r="E28" s="34"/>
      <c r="F28" s="34"/>
      <c r="G28" s="34"/>
      <c r="H28" s="34"/>
    </row>
    <row r="29" spans="1:8" x14ac:dyDescent="0.25">
      <c r="A29" s="33" t="s">
        <v>70</v>
      </c>
      <c r="B29" s="34"/>
      <c r="C29" s="34"/>
      <c r="D29" s="34"/>
      <c r="E29" s="34"/>
      <c r="F29" s="34"/>
      <c r="G29" s="34"/>
      <c r="H29" s="34"/>
    </row>
    <row r="30" spans="1:8" x14ac:dyDescent="0.25">
      <c r="A30" s="33" t="s">
        <v>71</v>
      </c>
      <c r="B30" s="34"/>
      <c r="C30" s="34"/>
      <c r="D30" s="34"/>
      <c r="E30" s="34"/>
      <c r="F30" s="34"/>
      <c r="G30" s="34"/>
      <c r="H30" s="34"/>
    </row>
    <row r="31" spans="1:8" x14ac:dyDescent="0.25">
      <c r="A31" s="33" t="s">
        <v>72</v>
      </c>
      <c r="B31" s="34"/>
      <c r="C31" s="34"/>
      <c r="D31" s="34"/>
      <c r="E31" s="34"/>
      <c r="F31" s="34"/>
      <c r="G31" s="34"/>
      <c r="H31" s="34"/>
    </row>
    <row r="32" spans="1:8" x14ac:dyDescent="0.25">
      <c r="A32" s="33" t="s">
        <v>73</v>
      </c>
      <c r="B32" s="34"/>
      <c r="C32" s="34"/>
      <c r="D32" s="34"/>
      <c r="E32" s="34"/>
      <c r="F32" s="34"/>
      <c r="G32" s="34"/>
      <c r="H32" s="34"/>
    </row>
    <row r="33" spans="1:8" x14ac:dyDescent="0.25">
      <c r="A33" s="33" t="s">
        <v>74</v>
      </c>
      <c r="B33" s="34"/>
      <c r="C33" s="34"/>
      <c r="D33" s="34"/>
      <c r="E33" s="34"/>
      <c r="F33" s="34"/>
      <c r="G33" s="34"/>
      <c r="H33" s="34"/>
    </row>
  </sheetData>
  <mergeCells count="13">
    <mergeCell ref="A33:H33"/>
    <mergeCell ref="A1:H1"/>
    <mergeCell ref="A32:H32"/>
    <mergeCell ref="A27:H27"/>
    <mergeCell ref="A31:H31"/>
    <mergeCell ref="A12:H12"/>
    <mergeCell ref="A3:H3"/>
    <mergeCell ref="A26:H26"/>
    <mergeCell ref="A30:H30"/>
    <mergeCell ref="A29:H29"/>
    <mergeCell ref="A25:H25"/>
    <mergeCell ref="E4:H4"/>
    <mergeCell ref="A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workbookViewId="0">
      <pane ySplit="3" topLeftCell="A4" activePane="bottomLeft" state="frozen"/>
      <selection pane="bottomLeft" sqref="A1:J1"/>
    </sheetView>
  </sheetViews>
  <sheetFormatPr baseColWidth="10" defaultColWidth="9.140625" defaultRowHeight="15" x14ac:dyDescent="0.25"/>
  <cols>
    <col min="1" max="1" width="18" customWidth="1"/>
    <col min="2" max="2" width="16" customWidth="1"/>
    <col min="3" max="3" width="14" customWidth="1"/>
    <col min="4" max="6" width="24" customWidth="1"/>
    <col min="7" max="7" width="18" customWidth="1"/>
    <col min="8" max="8" width="16" customWidth="1"/>
    <col min="9" max="9" width="14" customWidth="1"/>
    <col min="10" max="10" width="28" customWidth="1"/>
  </cols>
  <sheetData>
    <row r="1" spans="1:10" ht="19.5" x14ac:dyDescent="0.25">
      <c r="A1" s="39" t="s">
        <v>75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15.75" x14ac:dyDescent="0.25">
      <c r="A3" s="38" t="s">
        <v>76</v>
      </c>
      <c r="B3" s="34"/>
      <c r="C3" s="34"/>
      <c r="D3" s="34"/>
      <c r="F3" s="38" t="s">
        <v>77</v>
      </c>
      <c r="G3" s="34"/>
      <c r="H3" s="34"/>
      <c r="I3" s="34"/>
      <c r="J3" s="34"/>
    </row>
    <row r="4" spans="1:10" x14ac:dyDescent="0.25">
      <c r="A4" s="9" t="s">
        <v>78</v>
      </c>
      <c r="B4" s="9" t="s">
        <v>79</v>
      </c>
      <c r="C4" s="9" t="s">
        <v>80</v>
      </c>
      <c r="D4" s="9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4</v>
      </c>
    </row>
    <row r="5" spans="1:10" ht="30" x14ac:dyDescent="0.25">
      <c r="A5" s="2" t="s">
        <v>86</v>
      </c>
      <c r="B5" s="2" t="s">
        <v>87</v>
      </c>
      <c r="C5" s="2" t="s">
        <v>88</v>
      </c>
      <c r="D5" s="2" t="s">
        <v>89</v>
      </c>
      <c r="F5" s="2" t="s">
        <v>90</v>
      </c>
      <c r="G5" s="2" t="s">
        <v>91</v>
      </c>
      <c r="H5" s="2" t="s">
        <v>92</v>
      </c>
      <c r="I5" s="6" t="s">
        <v>93</v>
      </c>
      <c r="J5" s="2" t="s">
        <v>94</v>
      </c>
    </row>
    <row r="6" spans="1:10" ht="30" x14ac:dyDescent="0.25">
      <c r="A6" s="2" t="s">
        <v>95</v>
      </c>
      <c r="B6" s="2" t="s">
        <v>20</v>
      </c>
      <c r="C6" s="2" t="s">
        <v>11</v>
      </c>
      <c r="D6" s="2" t="s">
        <v>96</v>
      </c>
      <c r="F6" s="2" t="s">
        <v>97</v>
      </c>
      <c r="G6" s="2" t="s">
        <v>98</v>
      </c>
      <c r="H6" s="2" t="s">
        <v>99</v>
      </c>
      <c r="I6" s="6" t="s">
        <v>100</v>
      </c>
      <c r="J6" s="2" t="s">
        <v>101</v>
      </c>
    </row>
    <row r="7" spans="1:10" x14ac:dyDescent="0.25">
      <c r="A7" s="2" t="s">
        <v>11</v>
      </c>
      <c r="B7" s="2" t="s">
        <v>20</v>
      </c>
      <c r="C7" s="2" t="s">
        <v>102</v>
      </c>
      <c r="D7" s="2" t="s">
        <v>103</v>
      </c>
      <c r="F7" s="2" t="s">
        <v>104</v>
      </c>
      <c r="G7" s="2" t="s">
        <v>105</v>
      </c>
      <c r="H7" s="2" t="s">
        <v>105</v>
      </c>
      <c r="I7" s="2" t="s">
        <v>106</v>
      </c>
      <c r="J7" s="2" t="s">
        <v>107</v>
      </c>
    </row>
    <row r="8" spans="1:10" x14ac:dyDescent="0.25">
      <c r="A8" s="2" t="s">
        <v>7</v>
      </c>
      <c r="B8" s="2" t="s">
        <v>20</v>
      </c>
      <c r="C8" s="2" t="s">
        <v>102</v>
      </c>
      <c r="D8" s="2" t="s">
        <v>108</v>
      </c>
    </row>
    <row r="9" spans="1:10" ht="30" x14ac:dyDescent="0.25">
      <c r="A9" s="2" t="s">
        <v>109</v>
      </c>
      <c r="B9" s="2" t="s">
        <v>110</v>
      </c>
      <c r="C9" s="2" t="s">
        <v>111</v>
      </c>
      <c r="D9" s="2" t="s">
        <v>28</v>
      </c>
    </row>
    <row r="10" spans="1:10" ht="30" x14ac:dyDescent="0.25">
      <c r="A10" s="2" t="s">
        <v>112</v>
      </c>
      <c r="B10" s="2" t="s">
        <v>110</v>
      </c>
      <c r="C10" s="2" t="s">
        <v>113</v>
      </c>
      <c r="D10" s="2" t="s">
        <v>114</v>
      </c>
    </row>
    <row r="12" spans="1:10" ht="15.75" x14ac:dyDescent="0.25">
      <c r="A12" s="38" t="s">
        <v>115</v>
      </c>
      <c r="B12" s="34"/>
      <c r="C12" s="34"/>
      <c r="D12" s="34"/>
      <c r="E12" s="34"/>
      <c r="G12" s="38" t="s">
        <v>116</v>
      </c>
      <c r="H12" s="34"/>
      <c r="I12" s="34"/>
      <c r="J12" s="34"/>
    </row>
    <row r="13" spans="1:10" x14ac:dyDescent="0.25">
      <c r="A13" s="11" t="s">
        <v>117</v>
      </c>
      <c r="B13" s="11" t="s">
        <v>118</v>
      </c>
      <c r="C13" s="11" t="s">
        <v>79</v>
      </c>
      <c r="D13" s="11" t="s">
        <v>119</v>
      </c>
      <c r="E13" s="11" t="s">
        <v>81</v>
      </c>
      <c r="G13" s="12" t="s">
        <v>78</v>
      </c>
      <c r="H13" s="12" t="s">
        <v>120</v>
      </c>
      <c r="I13" s="12" t="s">
        <v>121</v>
      </c>
      <c r="J13" s="12" t="s">
        <v>81</v>
      </c>
    </row>
    <row r="14" spans="1:10" x14ac:dyDescent="0.25">
      <c r="A14" s="2" t="s">
        <v>122</v>
      </c>
      <c r="B14" s="2" t="s">
        <v>123</v>
      </c>
      <c r="C14" s="2" t="s">
        <v>110</v>
      </c>
      <c r="D14" s="2" t="s">
        <v>124</v>
      </c>
      <c r="E14" s="2"/>
      <c r="G14" s="2" t="s">
        <v>125</v>
      </c>
      <c r="H14" s="2" t="s">
        <v>126</v>
      </c>
      <c r="I14" s="2" t="s">
        <v>127</v>
      </c>
      <c r="J14" s="2"/>
    </row>
    <row r="15" spans="1:10" x14ac:dyDescent="0.25">
      <c r="A15" s="2" t="s">
        <v>128</v>
      </c>
      <c r="B15" s="2" t="s">
        <v>129</v>
      </c>
      <c r="C15" s="2" t="s">
        <v>110</v>
      </c>
      <c r="D15" s="2" t="s">
        <v>124</v>
      </c>
      <c r="E15" s="2"/>
      <c r="G15" s="2" t="s">
        <v>130</v>
      </c>
      <c r="H15" s="2" t="s">
        <v>131</v>
      </c>
      <c r="I15" s="2" t="s">
        <v>132</v>
      </c>
      <c r="J15" s="2"/>
    </row>
    <row r="16" spans="1:10" x14ac:dyDescent="0.25">
      <c r="A16" s="2" t="s">
        <v>133</v>
      </c>
      <c r="B16" s="2" t="s">
        <v>134</v>
      </c>
      <c r="C16" s="2" t="s">
        <v>110</v>
      </c>
      <c r="D16" s="2" t="s">
        <v>135</v>
      </c>
      <c r="E16" s="2"/>
      <c r="G16" s="2" t="s">
        <v>136</v>
      </c>
      <c r="H16" s="2" t="s">
        <v>137</v>
      </c>
      <c r="I16" s="2" t="s">
        <v>138</v>
      </c>
      <c r="J16" s="2" t="s">
        <v>139</v>
      </c>
    </row>
    <row r="17" spans="1:10" x14ac:dyDescent="0.25">
      <c r="A17" s="2" t="s">
        <v>140</v>
      </c>
      <c r="B17" s="2" t="s">
        <v>141</v>
      </c>
      <c r="C17" s="2" t="s">
        <v>142</v>
      </c>
      <c r="D17" s="2" t="s">
        <v>135</v>
      </c>
      <c r="E17" s="2" t="s">
        <v>143</v>
      </c>
      <c r="G17" s="2" t="s">
        <v>144</v>
      </c>
      <c r="H17" s="2" t="s">
        <v>145</v>
      </c>
      <c r="I17" s="2" t="s">
        <v>138</v>
      </c>
      <c r="J17" s="2" t="s">
        <v>139</v>
      </c>
    </row>
    <row r="18" spans="1:10" x14ac:dyDescent="0.25">
      <c r="A18" s="2" t="s">
        <v>146</v>
      </c>
      <c r="B18" s="2" t="s">
        <v>147</v>
      </c>
      <c r="C18" s="2" t="s">
        <v>110</v>
      </c>
      <c r="D18" s="2" t="s">
        <v>148</v>
      </c>
      <c r="E18" s="2"/>
      <c r="G18" s="2" t="s">
        <v>149</v>
      </c>
      <c r="H18" s="2" t="s">
        <v>150</v>
      </c>
      <c r="I18" s="2" t="s">
        <v>132</v>
      </c>
      <c r="J18" s="2"/>
    </row>
    <row r="19" spans="1:10" x14ac:dyDescent="0.25">
      <c r="A19" s="2" t="s">
        <v>151</v>
      </c>
      <c r="B19" s="2" t="s">
        <v>152</v>
      </c>
      <c r="C19" s="2" t="s">
        <v>110</v>
      </c>
      <c r="D19" s="2" t="s">
        <v>153</v>
      </c>
      <c r="E19" s="2"/>
      <c r="G19" s="2" t="s">
        <v>154</v>
      </c>
      <c r="H19" s="2" t="s">
        <v>155</v>
      </c>
      <c r="I19" s="2" t="s">
        <v>156</v>
      </c>
      <c r="J19" s="2"/>
    </row>
    <row r="20" spans="1:10" x14ac:dyDescent="0.25">
      <c r="A20" s="2" t="s">
        <v>157</v>
      </c>
      <c r="B20" s="2" t="s">
        <v>158</v>
      </c>
      <c r="C20" s="2" t="s">
        <v>110</v>
      </c>
      <c r="D20" s="2" t="s">
        <v>159</v>
      </c>
      <c r="E20" s="2"/>
      <c r="G20" s="2" t="s">
        <v>160</v>
      </c>
      <c r="H20" s="2" t="s">
        <v>161</v>
      </c>
      <c r="I20" s="2" t="s">
        <v>156</v>
      </c>
      <c r="J20" s="2"/>
    </row>
    <row r="21" spans="1:10" x14ac:dyDescent="0.25">
      <c r="A21" s="2" t="s">
        <v>162</v>
      </c>
      <c r="B21" s="2" t="s">
        <v>163</v>
      </c>
      <c r="C21" s="2" t="s">
        <v>110</v>
      </c>
      <c r="D21" s="2" t="s">
        <v>164</v>
      </c>
      <c r="E21" s="2"/>
      <c r="G21" s="2" t="s">
        <v>165</v>
      </c>
      <c r="H21" s="2" t="s">
        <v>166</v>
      </c>
      <c r="I21" s="2" t="s">
        <v>156</v>
      </c>
      <c r="J21" s="2"/>
    </row>
    <row r="22" spans="1:10" x14ac:dyDescent="0.25">
      <c r="A22" s="2" t="s">
        <v>167</v>
      </c>
      <c r="B22" s="2" t="s">
        <v>168</v>
      </c>
      <c r="C22" s="2" t="s">
        <v>110</v>
      </c>
      <c r="D22" s="2" t="s">
        <v>169</v>
      </c>
      <c r="E22" s="2"/>
      <c r="G22" s="2" t="s">
        <v>170</v>
      </c>
      <c r="H22" s="2" t="s">
        <v>171</v>
      </c>
      <c r="I22" s="2" t="s">
        <v>156</v>
      </c>
      <c r="J22" s="2"/>
    </row>
    <row r="23" spans="1:10" x14ac:dyDescent="0.25">
      <c r="A23" s="2" t="s">
        <v>172</v>
      </c>
      <c r="B23" s="2" t="s">
        <v>173</v>
      </c>
      <c r="C23" s="2" t="s">
        <v>110</v>
      </c>
      <c r="D23" s="2" t="s">
        <v>169</v>
      </c>
      <c r="E23" s="2"/>
      <c r="G23" s="2" t="s">
        <v>174</v>
      </c>
      <c r="H23" s="2" t="s">
        <v>110</v>
      </c>
      <c r="I23" s="2" t="s">
        <v>76</v>
      </c>
      <c r="J23" s="2" t="s">
        <v>111</v>
      </c>
    </row>
    <row r="27" spans="1:10" ht="15.75" x14ac:dyDescent="0.25">
      <c r="A27" s="38" t="s">
        <v>175</v>
      </c>
      <c r="B27" s="34"/>
      <c r="C27" s="34"/>
      <c r="D27" s="34"/>
      <c r="E27" s="34"/>
    </row>
    <row r="28" spans="1:10" x14ac:dyDescent="0.25">
      <c r="A28" s="13" t="s">
        <v>176</v>
      </c>
      <c r="B28" s="13" t="s">
        <v>177</v>
      </c>
      <c r="C28" s="13" t="s">
        <v>178</v>
      </c>
      <c r="D28" s="13" t="s">
        <v>179</v>
      </c>
      <c r="E28" s="13" t="s">
        <v>180</v>
      </c>
    </row>
    <row r="29" spans="1:10" x14ac:dyDescent="0.25">
      <c r="A29" s="2" t="s">
        <v>181</v>
      </c>
      <c r="B29" s="2" t="s">
        <v>182</v>
      </c>
      <c r="C29" s="2" t="s">
        <v>183</v>
      </c>
      <c r="D29" s="2" t="s">
        <v>84</v>
      </c>
      <c r="E29" s="2" t="s">
        <v>184</v>
      </c>
    </row>
    <row r="30" spans="1:10" x14ac:dyDescent="0.25">
      <c r="A30" s="2" t="s">
        <v>185</v>
      </c>
      <c r="B30" s="2" t="s">
        <v>186</v>
      </c>
      <c r="C30" s="2" t="s">
        <v>183</v>
      </c>
      <c r="D30" s="2" t="s">
        <v>84</v>
      </c>
      <c r="E30" s="2" t="s">
        <v>187</v>
      </c>
    </row>
    <row r="31" spans="1:10" x14ac:dyDescent="0.25">
      <c r="A31" s="2" t="s">
        <v>188</v>
      </c>
      <c r="B31" s="2" t="s">
        <v>189</v>
      </c>
      <c r="C31" s="2" t="s">
        <v>190</v>
      </c>
      <c r="D31" s="2" t="s">
        <v>84</v>
      </c>
      <c r="E31" s="2" t="s">
        <v>191</v>
      </c>
    </row>
  </sheetData>
  <mergeCells count="6">
    <mergeCell ref="A27:E27"/>
    <mergeCell ref="A1:J1"/>
    <mergeCell ref="A12:E12"/>
    <mergeCell ref="F3:J3"/>
    <mergeCell ref="A3:D3"/>
    <mergeCell ref="G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showGridLines="0" tabSelected="1" workbookViewId="0">
      <pane ySplit="3" topLeftCell="A4" activePane="bottomLeft" state="frozen"/>
      <selection pane="bottomLeft" activeCell="H4" sqref="H3:H4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0" customWidth="1"/>
    <col min="4" max="4" width="14" customWidth="1"/>
    <col min="5" max="5" width="12" customWidth="1"/>
    <col min="6" max="7" width="14" customWidth="1"/>
    <col min="8" max="12" width="10" customWidth="1"/>
    <col min="13" max="14" width="11" customWidth="1"/>
    <col min="15" max="15" width="12" customWidth="1"/>
    <col min="16" max="16" width="28" customWidth="1"/>
  </cols>
  <sheetData>
    <row r="1" spans="1:16" ht="19.5" x14ac:dyDescent="0.25">
      <c r="A1" s="39" t="s">
        <v>192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6" x14ac:dyDescent="0.25">
      <c r="A3" s="14" t="s">
        <v>193</v>
      </c>
      <c r="B3" s="14" t="s">
        <v>194</v>
      </c>
      <c r="C3" s="14" t="s">
        <v>195</v>
      </c>
      <c r="D3" s="14" t="s">
        <v>196</v>
      </c>
      <c r="E3" s="14" t="s">
        <v>197</v>
      </c>
      <c r="F3" s="14" t="s">
        <v>198</v>
      </c>
      <c r="G3" s="14" t="s">
        <v>199</v>
      </c>
      <c r="H3" s="14" t="s">
        <v>200</v>
      </c>
      <c r="I3" s="14" t="s">
        <v>201</v>
      </c>
      <c r="J3" s="14" t="s">
        <v>202</v>
      </c>
      <c r="K3" s="14" t="s">
        <v>203</v>
      </c>
      <c r="L3" s="14" t="s">
        <v>204</v>
      </c>
      <c r="M3" s="14" t="s">
        <v>205</v>
      </c>
      <c r="N3" s="14" t="s">
        <v>206</v>
      </c>
      <c r="O3" s="14" t="s">
        <v>207</v>
      </c>
      <c r="P3" s="14" t="s">
        <v>81</v>
      </c>
    </row>
    <row r="4" spans="1:16" x14ac:dyDescent="0.25">
      <c r="A4" s="15" t="s">
        <v>208</v>
      </c>
      <c r="B4" s="15" t="s">
        <v>209</v>
      </c>
      <c r="C4" s="15" t="s">
        <v>210</v>
      </c>
      <c r="D4" s="15" t="s">
        <v>211</v>
      </c>
      <c r="E4" s="15" t="s">
        <v>212</v>
      </c>
      <c r="F4" s="15" t="s">
        <v>213</v>
      </c>
      <c r="G4" s="15">
        <v>26.5</v>
      </c>
      <c r="H4" s="15">
        <v>35</v>
      </c>
      <c r="I4" s="15">
        <v>90</v>
      </c>
      <c r="J4" s="15">
        <v>135</v>
      </c>
      <c r="K4" s="15" t="s">
        <v>214</v>
      </c>
      <c r="L4" s="15">
        <v>0</v>
      </c>
      <c r="M4" s="15">
        <f t="shared" ref="M4:M16" si="0">MIN(H4:J4)</f>
        <v>35</v>
      </c>
      <c r="N4" s="15">
        <f t="shared" ref="N4:N16" si="1">MAX(H4:J4)</f>
        <v>135</v>
      </c>
      <c r="O4" s="15" t="s">
        <v>63</v>
      </c>
      <c r="P4" s="15"/>
    </row>
    <row r="5" spans="1:16" x14ac:dyDescent="0.25">
      <c r="A5" s="15" t="s">
        <v>208</v>
      </c>
      <c r="B5" s="15" t="s">
        <v>215</v>
      </c>
      <c r="C5" s="15" t="s">
        <v>216</v>
      </c>
      <c r="D5" s="15" t="s">
        <v>217</v>
      </c>
      <c r="E5" s="15" t="s">
        <v>212</v>
      </c>
      <c r="F5" s="15" t="s">
        <v>218</v>
      </c>
      <c r="G5" s="15">
        <v>54</v>
      </c>
      <c r="H5" s="15">
        <v>10</v>
      </c>
      <c r="I5" s="15">
        <v>90</v>
      </c>
      <c r="J5" s="15">
        <v>180</v>
      </c>
      <c r="K5" s="15" t="s">
        <v>214</v>
      </c>
      <c r="L5" s="15">
        <v>0</v>
      </c>
      <c r="M5" s="15">
        <f t="shared" si="0"/>
        <v>10</v>
      </c>
      <c r="N5" s="15">
        <f t="shared" si="1"/>
        <v>180</v>
      </c>
      <c r="O5" s="15" t="s">
        <v>63</v>
      </c>
      <c r="P5" s="15"/>
    </row>
    <row r="6" spans="1:16" x14ac:dyDescent="0.25">
      <c r="A6" s="15" t="s">
        <v>208</v>
      </c>
      <c r="B6" s="15" t="s">
        <v>219</v>
      </c>
      <c r="C6" s="15" t="s">
        <v>220</v>
      </c>
      <c r="D6" s="15" t="s">
        <v>218</v>
      </c>
      <c r="E6" s="15" t="s">
        <v>212</v>
      </c>
      <c r="F6" s="15" t="s">
        <v>217</v>
      </c>
      <c r="G6" s="15">
        <v>79.5</v>
      </c>
      <c r="H6" s="15">
        <v>18</v>
      </c>
      <c r="I6" s="15">
        <v>90</v>
      </c>
      <c r="J6" s="15">
        <v>146</v>
      </c>
      <c r="K6" s="15" t="s">
        <v>214</v>
      </c>
      <c r="L6" s="15">
        <v>0</v>
      </c>
      <c r="M6" s="15">
        <f t="shared" si="0"/>
        <v>18</v>
      </c>
      <c r="N6" s="15">
        <f t="shared" si="1"/>
        <v>146</v>
      </c>
      <c r="O6" s="15" t="s">
        <v>63</v>
      </c>
      <c r="P6" s="15"/>
    </row>
    <row r="7" spans="1:16" x14ac:dyDescent="0.25">
      <c r="A7" s="16" t="s">
        <v>221</v>
      </c>
      <c r="B7" s="16" t="s">
        <v>209</v>
      </c>
      <c r="C7" s="16" t="s">
        <v>222</v>
      </c>
      <c r="D7" s="16" t="s">
        <v>213</v>
      </c>
      <c r="E7" s="16" t="s">
        <v>212</v>
      </c>
      <c r="F7" s="16" t="s">
        <v>211</v>
      </c>
      <c r="G7" s="16">
        <v>26.5</v>
      </c>
      <c r="H7" s="16">
        <v>40</v>
      </c>
      <c r="I7" s="16">
        <v>90</v>
      </c>
      <c r="J7" s="16">
        <v>130</v>
      </c>
      <c r="K7" s="16" t="s">
        <v>214</v>
      </c>
      <c r="L7" s="16">
        <v>0</v>
      </c>
      <c r="M7" s="16">
        <f t="shared" si="0"/>
        <v>40</v>
      </c>
      <c r="N7" s="16">
        <f t="shared" si="1"/>
        <v>130</v>
      </c>
      <c r="O7" s="16" t="s">
        <v>63</v>
      </c>
      <c r="P7" s="16"/>
    </row>
    <row r="8" spans="1:16" x14ac:dyDescent="0.25">
      <c r="A8" s="16" t="s">
        <v>221</v>
      </c>
      <c r="B8" s="16" t="s">
        <v>215</v>
      </c>
      <c r="C8" s="16" t="s">
        <v>223</v>
      </c>
      <c r="D8" s="16" t="s">
        <v>218</v>
      </c>
      <c r="E8" s="16" t="s">
        <v>212</v>
      </c>
      <c r="F8" s="16" t="s">
        <v>217</v>
      </c>
      <c r="G8" s="16">
        <v>54</v>
      </c>
      <c r="H8" s="16">
        <v>170</v>
      </c>
      <c r="I8" s="16">
        <v>90</v>
      </c>
      <c r="J8" s="16">
        <v>10</v>
      </c>
      <c r="K8" s="16" t="s">
        <v>224</v>
      </c>
      <c r="L8" s="16">
        <v>0</v>
      </c>
      <c r="M8" s="16">
        <f t="shared" si="0"/>
        <v>10</v>
      </c>
      <c r="N8" s="16">
        <f t="shared" si="1"/>
        <v>170</v>
      </c>
      <c r="O8" s="16" t="s">
        <v>63</v>
      </c>
      <c r="P8" s="16"/>
    </row>
    <row r="9" spans="1:16" x14ac:dyDescent="0.25">
      <c r="A9" s="16" t="s">
        <v>221</v>
      </c>
      <c r="B9" s="16" t="s">
        <v>219</v>
      </c>
      <c r="C9" s="16" t="s">
        <v>225</v>
      </c>
      <c r="D9" s="16" t="s">
        <v>217</v>
      </c>
      <c r="E9" s="16" t="s">
        <v>212</v>
      </c>
      <c r="F9" s="16" t="s">
        <v>218</v>
      </c>
      <c r="G9" s="16">
        <v>79.5</v>
      </c>
      <c r="H9" s="16">
        <v>30</v>
      </c>
      <c r="I9" s="16">
        <v>90</v>
      </c>
      <c r="J9" s="16">
        <v>160</v>
      </c>
      <c r="K9" s="16" t="s">
        <v>214</v>
      </c>
      <c r="L9" s="16">
        <v>0</v>
      </c>
      <c r="M9" s="16">
        <f t="shared" si="0"/>
        <v>30</v>
      </c>
      <c r="N9" s="16">
        <f t="shared" si="1"/>
        <v>160</v>
      </c>
      <c r="O9" s="16" t="s">
        <v>63</v>
      </c>
      <c r="P9" s="16"/>
    </row>
    <row r="10" spans="1:16" x14ac:dyDescent="0.25">
      <c r="A10" s="17" t="s">
        <v>226</v>
      </c>
      <c r="B10" s="17" t="s">
        <v>209</v>
      </c>
      <c r="C10" s="17" t="s">
        <v>227</v>
      </c>
      <c r="D10" s="17" t="s">
        <v>211</v>
      </c>
      <c r="E10" s="17" t="s">
        <v>212</v>
      </c>
      <c r="F10" s="17" t="s">
        <v>213</v>
      </c>
      <c r="G10" s="17">
        <v>26.5</v>
      </c>
      <c r="H10" s="17">
        <v>40</v>
      </c>
      <c r="I10" s="17">
        <v>90</v>
      </c>
      <c r="J10" s="17">
        <v>140</v>
      </c>
      <c r="K10" s="17" t="s">
        <v>214</v>
      </c>
      <c r="L10" s="17">
        <v>0</v>
      </c>
      <c r="M10" s="17">
        <f t="shared" si="0"/>
        <v>40</v>
      </c>
      <c r="N10" s="17">
        <f t="shared" si="1"/>
        <v>140</v>
      </c>
      <c r="O10" s="17" t="s">
        <v>63</v>
      </c>
      <c r="P10" s="17"/>
    </row>
    <row r="11" spans="1:16" x14ac:dyDescent="0.25">
      <c r="A11" s="17" t="s">
        <v>226</v>
      </c>
      <c r="B11" s="17" t="s">
        <v>215</v>
      </c>
      <c r="C11" s="17" t="s">
        <v>228</v>
      </c>
      <c r="D11" s="17" t="s">
        <v>218</v>
      </c>
      <c r="E11" s="17" t="s">
        <v>212</v>
      </c>
      <c r="F11" s="17" t="s">
        <v>217</v>
      </c>
      <c r="G11" s="17">
        <v>54</v>
      </c>
      <c r="H11" s="17">
        <v>18</v>
      </c>
      <c r="I11" s="17">
        <v>90</v>
      </c>
      <c r="J11" s="17">
        <v>146</v>
      </c>
      <c r="K11" s="17" t="s">
        <v>214</v>
      </c>
      <c r="L11" s="17">
        <v>0</v>
      </c>
      <c r="M11" s="17">
        <f t="shared" si="0"/>
        <v>18</v>
      </c>
      <c r="N11" s="17">
        <f t="shared" si="1"/>
        <v>146</v>
      </c>
      <c r="O11" s="17" t="s">
        <v>63</v>
      </c>
      <c r="P11" s="17"/>
    </row>
    <row r="12" spans="1:16" x14ac:dyDescent="0.25">
      <c r="A12" s="17" t="s">
        <v>226</v>
      </c>
      <c r="B12" s="17" t="s">
        <v>219</v>
      </c>
      <c r="C12" s="17" t="s">
        <v>229</v>
      </c>
      <c r="D12" s="17" t="s">
        <v>217</v>
      </c>
      <c r="E12" s="17" t="s">
        <v>212</v>
      </c>
      <c r="F12" s="17" t="s">
        <v>218</v>
      </c>
      <c r="G12" s="17">
        <v>79.5</v>
      </c>
      <c r="H12" s="17">
        <v>40</v>
      </c>
      <c r="I12" s="17">
        <v>90</v>
      </c>
      <c r="J12" s="17">
        <v>168</v>
      </c>
      <c r="K12" s="17" t="s">
        <v>214</v>
      </c>
      <c r="L12" s="17">
        <v>0</v>
      </c>
      <c r="M12" s="17">
        <f t="shared" si="0"/>
        <v>40</v>
      </c>
      <c r="N12" s="17">
        <f t="shared" si="1"/>
        <v>168</v>
      </c>
      <c r="O12" s="17" t="s">
        <v>63</v>
      </c>
      <c r="P12" s="17"/>
    </row>
    <row r="13" spans="1:16" x14ac:dyDescent="0.25">
      <c r="A13" s="18" t="s">
        <v>230</v>
      </c>
      <c r="B13" s="18" t="s">
        <v>209</v>
      </c>
      <c r="C13" s="18" t="s">
        <v>231</v>
      </c>
      <c r="D13" s="18" t="s">
        <v>213</v>
      </c>
      <c r="E13" s="18" t="s">
        <v>212</v>
      </c>
      <c r="F13" s="18" t="s">
        <v>211</v>
      </c>
      <c r="G13" s="18">
        <v>26.5</v>
      </c>
      <c r="H13" s="18">
        <v>40</v>
      </c>
      <c r="I13" s="18">
        <v>90</v>
      </c>
      <c r="J13" s="18">
        <v>134</v>
      </c>
      <c r="K13" s="18" t="s">
        <v>214</v>
      </c>
      <c r="L13" s="18">
        <v>0</v>
      </c>
      <c r="M13" s="18">
        <f t="shared" si="0"/>
        <v>40</v>
      </c>
      <c r="N13" s="18">
        <f t="shared" si="1"/>
        <v>134</v>
      </c>
      <c r="O13" s="18" t="s">
        <v>63</v>
      </c>
      <c r="P13" s="18"/>
    </row>
    <row r="14" spans="1:16" x14ac:dyDescent="0.25">
      <c r="A14" s="18" t="s">
        <v>230</v>
      </c>
      <c r="B14" s="18" t="s">
        <v>215</v>
      </c>
      <c r="C14" s="18" t="s">
        <v>232</v>
      </c>
      <c r="D14" s="18" t="s">
        <v>217</v>
      </c>
      <c r="E14" s="18" t="s">
        <v>212</v>
      </c>
      <c r="F14" s="18" t="s">
        <v>218</v>
      </c>
      <c r="G14" s="18">
        <v>54</v>
      </c>
      <c r="H14" s="18">
        <v>18</v>
      </c>
      <c r="I14" s="18">
        <v>90</v>
      </c>
      <c r="J14" s="18">
        <v>180</v>
      </c>
      <c r="K14" s="18" t="s">
        <v>214</v>
      </c>
      <c r="L14" s="18">
        <v>0</v>
      </c>
      <c r="M14" s="18">
        <f t="shared" si="0"/>
        <v>18</v>
      </c>
      <c r="N14" s="18">
        <f t="shared" si="1"/>
        <v>180</v>
      </c>
      <c r="O14" s="18" t="s">
        <v>63</v>
      </c>
      <c r="P14" s="18"/>
    </row>
    <row r="15" spans="1:16" x14ac:dyDescent="0.25">
      <c r="A15" s="18" t="s">
        <v>230</v>
      </c>
      <c r="B15" s="18" t="s">
        <v>219</v>
      </c>
      <c r="C15" s="18" t="s">
        <v>233</v>
      </c>
      <c r="D15" s="18" t="s">
        <v>218</v>
      </c>
      <c r="E15" s="18" t="s">
        <v>212</v>
      </c>
      <c r="F15" s="18" t="s">
        <v>217</v>
      </c>
      <c r="G15" s="18">
        <v>79.5</v>
      </c>
      <c r="H15" s="18">
        <v>18</v>
      </c>
      <c r="I15" s="18">
        <v>90</v>
      </c>
      <c r="J15" s="18">
        <v>140</v>
      </c>
      <c r="K15" s="18" t="s">
        <v>214</v>
      </c>
      <c r="L15" s="18">
        <v>0</v>
      </c>
      <c r="M15" s="18">
        <f t="shared" si="0"/>
        <v>18</v>
      </c>
      <c r="N15" s="18">
        <f t="shared" si="1"/>
        <v>140</v>
      </c>
      <c r="O15" s="18" t="s">
        <v>63</v>
      </c>
      <c r="P15" s="18"/>
    </row>
    <row r="16" spans="1:16" ht="30" x14ac:dyDescent="0.25">
      <c r="A16" s="19" t="s">
        <v>234</v>
      </c>
      <c r="B16" s="19" t="s">
        <v>234</v>
      </c>
      <c r="C16" s="19" t="s">
        <v>235</v>
      </c>
      <c r="D16" s="19" t="s">
        <v>236</v>
      </c>
      <c r="E16" s="19" t="s">
        <v>212</v>
      </c>
      <c r="F16" s="19" t="s">
        <v>237</v>
      </c>
      <c r="G16" s="19" t="s">
        <v>238</v>
      </c>
      <c r="H16" s="19">
        <v>45</v>
      </c>
      <c r="I16" s="19">
        <v>90</v>
      </c>
      <c r="J16" s="19">
        <v>135</v>
      </c>
      <c r="K16" s="19" t="s">
        <v>214</v>
      </c>
      <c r="L16" s="19">
        <v>0</v>
      </c>
      <c r="M16" s="19">
        <f t="shared" si="0"/>
        <v>45</v>
      </c>
      <c r="N16" s="19">
        <f t="shared" si="1"/>
        <v>135</v>
      </c>
      <c r="O16" s="19" t="s">
        <v>63</v>
      </c>
      <c r="P16" s="19"/>
    </row>
  </sheetData>
  <mergeCells count="1">
    <mergeCell ref="A1:N1"/>
  </mergeCells>
  <dataValidations count="2">
    <dataValidation type="list" allowBlank="1" sqref="K4:K16" xr:uid="{00000000-0002-0000-0200-000000000000}">
      <formula1>"No,Sí"</formula1>
    </dataValidation>
    <dataValidation type="list" allowBlank="1" sqref="O4:O16" xr:uid="{00000000-0002-0000-0200-000001000000}">
      <formula1>"Pendiente,En prueba,OK,Revisar"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showGridLines="0" workbookViewId="0">
      <pane ySplit="7" topLeftCell="A8" activePane="bottomLeft" state="frozen"/>
      <selection pane="bottomLeft" activeCell="P29" sqref="P29"/>
    </sheetView>
  </sheetViews>
  <sheetFormatPr baseColWidth="10" defaultColWidth="9.140625" defaultRowHeight="15" x14ac:dyDescent="0.25"/>
  <cols>
    <col min="1" max="1" width="12.5703125" bestFit="1" customWidth="1"/>
    <col min="2" max="2" width="12.85546875" bestFit="1" customWidth="1"/>
    <col min="3" max="3" width="53" bestFit="1" customWidth="1"/>
    <col min="4" max="4" width="12.28515625" bestFit="1" customWidth="1"/>
    <col min="5" max="5" width="17.5703125" bestFit="1" customWidth="1"/>
    <col min="6" max="6" width="12.7109375" bestFit="1" customWidth="1"/>
    <col min="7" max="7" width="10.28515625" bestFit="1" customWidth="1"/>
    <col min="8" max="8" width="6.140625" bestFit="1" customWidth="1"/>
    <col min="9" max="9" width="35.140625" bestFit="1" customWidth="1"/>
    <col min="10" max="10" width="6.140625" bestFit="1" customWidth="1"/>
    <col min="11" max="11" width="6.85546875" customWidth="1"/>
  </cols>
  <sheetData>
    <row r="1" spans="1:11" ht="19.5" x14ac:dyDescent="0.25">
      <c r="A1" s="39" t="s">
        <v>239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x14ac:dyDescent="0.25">
      <c r="A3" s="20" t="s">
        <v>240</v>
      </c>
      <c r="B3" s="20" t="s">
        <v>3</v>
      </c>
    </row>
    <row r="4" spans="1:11" x14ac:dyDescent="0.25">
      <c r="A4" s="21" t="s">
        <v>241</v>
      </c>
      <c r="B4" s="22">
        <f>COUNTA(A8:A200)-COUNTBLANK(A8:A200)</f>
        <v>-145</v>
      </c>
    </row>
    <row r="5" spans="1:11" x14ac:dyDescent="0.25">
      <c r="A5" s="21" t="s">
        <v>242</v>
      </c>
      <c r="B5" s="22">
        <f>COUNTIF(G8:G200,"OK")</f>
        <v>0</v>
      </c>
    </row>
    <row r="6" spans="1:11" x14ac:dyDescent="0.25">
      <c r="A6" s="21" t="s">
        <v>243</v>
      </c>
      <c r="B6" s="22">
        <f>COUNTIF(G8:G200,"En prueba")</f>
        <v>0</v>
      </c>
    </row>
    <row r="7" spans="1:11" x14ac:dyDescent="0.25">
      <c r="A7" s="14" t="s">
        <v>244</v>
      </c>
      <c r="B7" s="14" t="s">
        <v>245</v>
      </c>
      <c r="C7" s="14" t="s">
        <v>246</v>
      </c>
      <c r="D7" s="14" t="s">
        <v>247</v>
      </c>
      <c r="E7" s="14" t="s">
        <v>248</v>
      </c>
      <c r="F7" s="14" t="s">
        <v>249</v>
      </c>
      <c r="G7" s="14" t="s">
        <v>250</v>
      </c>
      <c r="H7" s="14" t="s">
        <v>251</v>
      </c>
      <c r="I7" s="14" t="s">
        <v>252</v>
      </c>
      <c r="J7" s="14" t="s">
        <v>81</v>
      </c>
      <c r="K7" s="14" t="s">
        <v>253</v>
      </c>
    </row>
    <row r="8" spans="1:11" x14ac:dyDescent="0.25">
      <c r="A8" s="23" t="s">
        <v>254</v>
      </c>
      <c r="B8" s="2" t="s">
        <v>76</v>
      </c>
      <c r="C8" s="2" t="s">
        <v>255</v>
      </c>
      <c r="D8" s="2" t="s">
        <v>256</v>
      </c>
      <c r="E8" s="24" t="s">
        <v>257</v>
      </c>
      <c r="F8" s="2" t="s">
        <v>106</v>
      </c>
      <c r="G8" s="25" t="s">
        <v>63</v>
      </c>
      <c r="H8" s="2"/>
      <c r="I8" s="2" t="s">
        <v>258</v>
      </c>
      <c r="J8" s="2"/>
      <c r="K8" s="2" t="s">
        <v>259</v>
      </c>
    </row>
    <row r="9" spans="1:11" x14ac:dyDescent="0.25">
      <c r="A9" s="23" t="s">
        <v>260</v>
      </c>
      <c r="B9" s="26">
        <f>IF(B4=0,0,B5/B4)</f>
        <v>0</v>
      </c>
      <c r="C9" s="2" t="s">
        <v>261</v>
      </c>
      <c r="D9" s="2" t="s">
        <v>256</v>
      </c>
      <c r="E9" s="24" t="s">
        <v>262</v>
      </c>
      <c r="F9" s="2" t="s">
        <v>254</v>
      </c>
      <c r="G9" s="25" t="s">
        <v>63</v>
      </c>
      <c r="H9" s="2"/>
      <c r="I9" s="2" t="s">
        <v>263</v>
      </c>
      <c r="J9" s="2"/>
      <c r="K9" s="2" t="s">
        <v>264</v>
      </c>
    </row>
    <row r="10" spans="1:11" x14ac:dyDescent="0.25">
      <c r="A10" s="2" t="s">
        <v>265</v>
      </c>
      <c r="B10" s="2" t="s">
        <v>76</v>
      </c>
      <c r="C10" s="2" t="s">
        <v>266</v>
      </c>
      <c r="D10" s="2" t="s">
        <v>256</v>
      </c>
      <c r="E10" s="24" t="s">
        <v>267</v>
      </c>
      <c r="F10" s="2" t="s">
        <v>260</v>
      </c>
      <c r="G10" s="25" t="s">
        <v>63</v>
      </c>
      <c r="H10" s="2"/>
      <c r="I10" s="2" t="s">
        <v>268</v>
      </c>
      <c r="J10" s="2"/>
      <c r="K10" s="2" t="s">
        <v>264</v>
      </c>
    </row>
    <row r="11" spans="1:11" x14ac:dyDescent="0.25">
      <c r="A11" s="2" t="s">
        <v>137</v>
      </c>
      <c r="B11" s="2" t="s">
        <v>76</v>
      </c>
      <c r="C11" s="2" t="s">
        <v>269</v>
      </c>
      <c r="D11" s="2" t="s">
        <v>256</v>
      </c>
      <c r="E11" s="24" t="s">
        <v>267</v>
      </c>
      <c r="F11" s="2" t="s">
        <v>254</v>
      </c>
      <c r="G11" s="25" t="s">
        <v>63</v>
      </c>
      <c r="H11" s="2"/>
      <c r="I11" s="2" t="s">
        <v>270</v>
      </c>
      <c r="J11" s="2"/>
      <c r="K11" s="2" t="s">
        <v>264</v>
      </c>
    </row>
    <row r="12" spans="1:11" x14ac:dyDescent="0.25">
      <c r="A12" s="2" t="s">
        <v>271</v>
      </c>
      <c r="B12" s="2" t="s">
        <v>83</v>
      </c>
      <c r="C12" s="2" t="s">
        <v>272</v>
      </c>
      <c r="D12" s="2" t="s">
        <v>83</v>
      </c>
      <c r="E12" s="24" t="s">
        <v>262</v>
      </c>
      <c r="F12" s="2" t="s">
        <v>260</v>
      </c>
      <c r="G12" s="25" t="s">
        <v>63</v>
      </c>
      <c r="H12" s="2"/>
      <c r="I12" s="2" t="s">
        <v>273</v>
      </c>
      <c r="J12" s="2"/>
      <c r="K12" s="2" t="s">
        <v>274</v>
      </c>
    </row>
    <row r="13" spans="1:11" x14ac:dyDescent="0.25">
      <c r="A13" s="2" t="s">
        <v>275</v>
      </c>
      <c r="B13" s="2" t="s">
        <v>83</v>
      </c>
      <c r="C13" s="2" t="s">
        <v>276</v>
      </c>
      <c r="D13" s="2" t="s">
        <v>83</v>
      </c>
      <c r="E13" s="24" t="s">
        <v>257</v>
      </c>
      <c r="F13" s="2" t="s">
        <v>271</v>
      </c>
      <c r="G13" s="25" t="s">
        <v>63</v>
      </c>
      <c r="H13" s="2"/>
      <c r="I13" s="2" t="s">
        <v>277</v>
      </c>
      <c r="J13" s="2"/>
      <c r="K13" s="2" t="s">
        <v>259</v>
      </c>
    </row>
    <row r="14" spans="1:11" x14ac:dyDescent="0.25">
      <c r="A14" s="2" t="s">
        <v>278</v>
      </c>
      <c r="B14" s="2" t="s">
        <v>83</v>
      </c>
      <c r="C14" s="2" t="s">
        <v>279</v>
      </c>
      <c r="D14" s="2" t="s">
        <v>83</v>
      </c>
      <c r="E14" s="24" t="s">
        <v>257</v>
      </c>
      <c r="F14" s="2" t="s">
        <v>275</v>
      </c>
      <c r="G14" s="25" t="s">
        <v>63</v>
      </c>
      <c r="H14" s="2"/>
      <c r="I14" s="2" t="s">
        <v>280</v>
      </c>
      <c r="J14" s="2"/>
      <c r="K14" s="2" t="s">
        <v>259</v>
      </c>
    </row>
    <row r="15" spans="1:11" x14ac:dyDescent="0.25">
      <c r="A15" s="2" t="s">
        <v>281</v>
      </c>
      <c r="B15" s="2" t="s">
        <v>83</v>
      </c>
      <c r="C15" s="2" t="s">
        <v>282</v>
      </c>
      <c r="D15" s="2" t="s">
        <v>83</v>
      </c>
      <c r="E15" s="24" t="s">
        <v>283</v>
      </c>
      <c r="F15" s="2" t="s">
        <v>278</v>
      </c>
      <c r="G15" s="25" t="s">
        <v>63</v>
      </c>
      <c r="H15" s="2"/>
      <c r="I15" s="2" t="s">
        <v>284</v>
      </c>
      <c r="J15" s="2"/>
      <c r="K15" s="2" t="s">
        <v>264</v>
      </c>
    </row>
    <row r="16" spans="1:11" x14ac:dyDescent="0.25">
      <c r="A16" s="2" t="s">
        <v>285</v>
      </c>
      <c r="B16" s="2" t="s">
        <v>83</v>
      </c>
      <c r="C16" s="2" t="s">
        <v>286</v>
      </c>
      <c r="D16" s="2" t="s">
        <v>83</v>
      </c>
      <c r="E16" s="24" t="s">
        <v>287</v>
      </c>
      <c r="F16" s="2" t="s">
        <v>281</v>
      </c>
      <c r="G16" s="25" t="s">
        <v>63</v>
      </c>
      <c r="H16" s="2"/>
      <c r="I16" s="2" t="s">
        <v>288</v>
      </c>
      <c r="J16" s="2"/>
      <c r="K16" s="2" t="s">
        <v>264</v>
      </c>
    </row>
    <row r="17" spans="1:11" x14ac:dyDescent="0.25">
      <c r="A17" s="2" t="s">
        <v>289</v>
      </c>
      <c r="B17" s="2" t="s">
        <v>83</v>
      </c>
      <c r="C17" s="2" t="s">
        <v>290</v>
      </c>
      <c r="D17" s="2" t="s">
        <v>83</v>
      </c>
      <c r="E17" s="24" t="s">
        <v>291</v>
      </c>
      <c r="F17" s="2" t="s">
        <v>285</v>
      </c>
      <c r="G17" s="25" t="s">
        <v>63</v>
      </c>
      <c r="H17" s="2"/>
      <c r="I17" s="2" t="s">
        <v>292</v>
      </c>
      <c r="J17" s="2"/>
      <c r="K17" s="2" t="s">
        <v>264</v>
      </c>
    </row>
    <row r="18" spans="1:11" x14ac:dyDescent="0.25">
      <c r="A18" s="2" t="s">
        <v>293</v>
      </c>
      <c r="B18" s="2" t="s">
        <v>84</v>
      </c>
      <c r="C18" s="2" t="s">
        <v>294</v>
      </c>
      <c r="D18" s="2" t="s">
        <v>84</v>
      </c>
      <c r="E18" s="24" t="s">
        <v>262</v>
      </c>
      <c r="F18" s="2" t="s">
        <v>260</v>
      </c>
      <c r="G18" s="25" t="s">
        <v>63</v>
      </c>
      <c r="H18" s="2"/>
      <c r="I18" s="2" t="s">
        <v>295</v>
      </c>
      <c r="J18" s="2"/>
      <c r="K18" s="2" t="s">
        <v>274</v>
      </c>
    </row>
    <row r="19" spans="1:11" x14ac:dyDescent="0.25">
      <c r="A19" s="2" t="s">
        <v>296</v>
      </c>
      <c r="B19" s="2" t="s">
        <v>84</v>
      </c>
      <c r="C19" s="2" t="s">
        <v>297</v>
      </c>
      <c r="D19" s="2" t="s">
        <v>84</v>
      </c>
      <c r="E19" s="24" t="s">
        <v>267</v>
      </c>
      <c r="F19" s="2" t="s">
        <v>293</v>
      </c>
      <c r="G19" s="25" t="s">
        <v>63</v>
      </c>
      <c r="H19" s="2"/>
      <c r="I19" s="2" t="s">
        <v>298</v>
      </c>
      <c r="J19" s="2"/>
      <c r="K19" s="2" t="s">
        <v>259</v>
      </c>
    </row>
    <row r="20" spans="1:11" x14ac:dyDescent="0.25">
      <c r="A20" s="2" t="s">
        <v>299</v>
      </c>
      <c r="B20" s="2" t="s">
        <v>84</v>
      </c>
      <c r="C20" s="2" t="s">
        <v>300</v>
      </c>
      <c r="D20" s="2" t="s">
        <v>84</v>
      </c>
      <c r="E20" s="24" t="s">
        <v>267</v>
      </c>
      <c r="F20" s="2" t="s">
        <v>293</v>
      </c>
      <c r="G20" s="25" t="s">
        <v>63</v>
      </c>
      <c r="H20" s="2"/>
      <c r="I20" s="2" t="s">
        <v>301</v>
      </c>
      <c r="J20" s="2"/>
      <c r="K20" s="2" t="s">
        <v>259</v>
      </c>
    </row>
    <row r="21" spans="1:11" x14ac:dyDescent="0.25">
      <c r="A21" s="2" t="s">
        <v>302</v>
      </c>
      <c r="B21" s="2" t="s">
        <v>84</v>
      </c>
      <c r="C21" s="2" t="s">
        <v>303</v>
      </c>
      <c r="D21" s="2" t="s">
        <v>84</v>
      </c>
      <c r="E21" s="24" t="s">
        <v>257</v>
      </c>
      <c r="F21" s="2" t="s">
        <v>293</v>
      </c>
      <c r="G21" s="25" t="s">
        <v>63</v>
      </c>
      <c r="H21" s="2"/>
      <c r="I21" s="2" t="s">
        <v>304</v>
      </c>
      <c r="J21" s="2"/>
      <c r="K21" s="2" t="s">
        <v>274</v>
      </c>
    </row>
    <row r="22" spans="1:11" x14ac:dyDescent="0.25">
      <c r="A22" s="2" t="s">
        <v>305</v>
      </c>
      <c r="B22" s="2" t="s">
        <v>84</v>
      </c>
      <c r="C22" s="2" t="s">
        <v>306</v>
      </c>
      <c r="D22" s="2" t="s">
        <v>84</v>
      </c>
      <c r="E22" s="24" t="s">
        <v>307</v>
      </c>
      <c r="F22" s="2" t="s">
        <v>293</v>
      </c>
      <c r="G22" s="25" t="s">
        <v>63</v>
      </c>
      <c r="H22" s="2"/>
      <c r="I22" s="2" t="s">
        <v>308</v>
      </c>
      <c r="J22" s="2"/>
      <c r="K22" s="2" t="s">
        <v>259</v>
      </c>
    </row>
    <row r="23" spans="1:11" x14ac:dyDescent="0.25">
      <c r="A23" s="2" t="s">
        <v>309</v>
      </c>
      <c r="B23" s="2" t="s">
        <v>83</v>
      </c>
      <c r="C23" s="2" t="s">
        <v>310</v>
      </c>
      <c r="D23" s="2" t="s">
        <v>83</v>
      </c>
      <c r="E23" s="24" t="s">
        <v>307</v>
      </c>
      <c r="F23" s="2" t="s">
        <v>271</v>
      </c>
      <c r="G23" s="25" t="s">
        <v>63</v>
      </c>
      <c r="H23" s="2"/>
      <c r="I23" s="2" t="s">
        <v>311</v>
      </c>
      <c r="J23" s="2"/>
      <c r="K23" s="2" t="s">
        <v>259</v>
      </c>
    </row>
    <row r="24" spans="1:11" x14ac:dyDescent="0.25">
      <c r="A24" s="2" t="s">
        <v>312</v>
      </c>
      <c r="B24" s="2" t="s">
        <v>313</v>
      </c>
      <c r="C24" s="2" t="s">
        <v>314</v>
      </c>
      <c r="D24" s="2" t="s">
        <v>313</v>
      </c>
      <c r="E24" s="24" t="s">
        <v>257</v>
      </c>
      <c r="F24" s="2" t="s">
        <v>315</v>
      </c>
      <c r="G24" s="25" t="s">
        <v>63</v>
      </c>
      <c r="H24" s="2"/>
      <c r="I24" s="2" t="s">
        <v>316</v>
      </c>
      <c r="J24" s="2"/>
      <c r="K24" s="2" t="s">
        <v>264</v>
      </c>
    </row>
    <row r="25" spans="1:11" x14ac:dyDescent="0.25">
      <c r="A25" s="2" t="s">
        <v>317</v>
      </c>
      <c r="B25" s="2" t="s">
        <v>313</v>
      </c>
      <c r="C25" s="2" t="s">
        <v>318</v>
      </c>
      <c r="D25" s="2" t="s">
        <v>313</v>
      </c>
      <c r="E25" s="24" t="s">
        <v>257</v>
      </c>
      <c r="F25" s="2" t="s">
        <v>319</v>
      </c>
      <c r="G25" s="25" t="s">
        <v>63</v>
      </c>
      <c r="H25" s="2"/>
      <c r="I25" s="2" t="s">
        <v>320</v>
      </c>
      <c r="J25" s="2"/>
      <c r="K25" s="2" t="s">
        <v>264</v>
      </c>
    </row>
    <row r="26" spans="1:11" x14ac:dyDescent="0.25">
      <c r="A26" s="2" t="s">
        <v>321</v>
      </c>
      <c r="B26" s="2" t="s">
        <v>313</v>
      </c>
      <c r="C26" s="2" t="s">
        <v>322</v>
      </c>
      <c r="D26" s="2" t="s">
        <v>313</v>
      </c>
      <c r="E26" s="24" t="s">
        <v>267</v>
      </c>
      <c r="F26" s="2" t="s">
        <v>323</v>
      </c>
      <c r="G26" s="25" t="s">
        <v>63</v>
      </c>
      <c r="H26" s="2"/>
      <c r="I26" s="2" t="s">
        <v>324</v>
      </c>
      <c r="J26" s="2"/>
      <c r="K26" s="2" t="s">
        <v>264</v>
      </c>
    </row>
    <row r="27" spans="1:11" x14ac:dyDescent="0.25">
      <c r="A27" s="2" t="s">
        <v>325</v>
      </c>
      <c r="B27" s="2" t="s">
        <v>313</v>
      </c>
      <c r="C27" s="2" t="s">
        <v>326</v>
      </c>
      <c r="D27" s="2" t="s">
        <v>313</v>
      </c>
      <c r="E27" s="24" t="s">
        <v>307</v>
      </c>
      <c r="F27" s="2" t="s">
        <v>321</v>
      </c>
      <c r="G27" s="25" t="s">
        <v>63</v>
      </c>
      <c r="H27" s="2"/>
      <c r="I27" s="2" t="s">
        <v>327</v>
      </c>
      <c r="J27" s="2"/>
      <c r="K27" s="2" t="s">
        <v>264</v>
      </c>
    </row>
    <row r="28" spans="1:11" x14ac:dyDescent="0.25">
      <c r="A28" s="2" t="s">
        <v>328</v>
      </c>
      <c r="B28" s="2" t="s">
        <v>313</v>
      </c>
      <c r="C28" s="2" t="s">
        <v>329</v>
      </c>
      <c r="D28" s="2" t="s">
        <v>313</v>
      </c>
      <c r="E28" s="24" t="s">
        <v>307</v>
      </c>
      <c r="F28" s="2" t="s">
        <v>325</v>
      </c>
      <c r="G28" s="25" t="s">
        <v>63</v>
      </c>
      <c r="H28" s="2"/>
      <c r="I28" s="2" t="s">
        <v>330</v>
      </c>
      <c r="J28" s="2"/>
      <c r="K28" s="2" t="s">
        <v>264</v>
      </c>
    </row>
    <row r="29" spans="1:11" x14ac:dyDescent="0.25">
      <c r="A29" s="2" t="s">
        <v>331</v>
      </c>
      <c r="B29" s="2" t="s">
        <v>332</v>
      </c>
      <c r="C29" s="2" t="s">
        <v>333</v>
      </c>
      <c r="D29" s="2" t="s">
        <v>332</v>
      </c>
      <c r="E29" s="24" t="s">
        <v>291</v>
      </c>
      <c r="F29" s="2" t="s">
        <v>328</v>
      </c>
      <c r="G29" s="25" t="s">
        <v>63</v>
      </c>
      <c r="H29" s="2"/>
      <c r="I29" s="2" t="s">
        <v>334</v>
      </c>
      <c r="J29" s="2"/>
      <c r="K29" s="2" t="s">
        <v>264</v>
      </c>
    </row>
    <row r="30" spans="1:11" x14ac:dyDescent="0.25">
      <c r="A30" s="2" t="s">
        <v>335</v>
      </c>
      <c r="B30" s="2" t="s">
        <v>332</v>
      </c>
      <c r="C30" s="2" t="s">
        <v>336</v>
      </c>
      <c r="D30" s="2" t="s">
        <v>332</v>
      </c>
      <c r="E30" s="24" t="s">
        <v>291</v>
      </c>
      <c r="F30" s="2" t="s">
        <v>331</v>
      </c>
      <c r="G30" s="25" t="s">
        <v>63</v>
      </c>
      <c r="H30" s="2"/>
      <c r="I30" s="2" t="s">
        <v>337</v>
      </c>
      <c r="J30" s="2"/>
      <c r="K30" s="2" t="s">
        <v>264</v>
      </c>
    </row>
    <row r="31" spans="1:11" x14ac:dyDescent="0.25">
      <c r="A31" s="2" t="s">
        <v>338</v>
      </c>
      <c r="B31" s="2" t="s">
        <v>332</v>
      </c>
      <c r="C31" s="2" t="s">
        <v>339</v>
      </c>
      <c r="D31" s="2" t="s">
        <v>332</v>
      </c>
      <c r="E31" s="24" t="s">
        <v>283</v>
      </c>
      <c r="F31" s="2" t="s">
        <v>335</v>
      </c>
      <c r="G31" s="25" t="s">
        <v>63</v>
      </c>
      <c r="H31" s="2"/>
      <c r="I31" s="2" t="s">
        <v>340</v>
      </c>
      <c r="J31" s="2"/>
      <c r="K31" s="2" t="s">
        <v>259</v>
      </c>
    </row>
  </sheetData>
  <mergeCells count="1">
    <mergeCell ref="A1:K1"/>
  </mergeCells>
  <conditionalFormatting sqref="A8:K200">
    <cfRule type="expression" dxfId="4" priority="1">
      <formula>$G8="OK"</formula>
    </cfRule>
    <cfRule type="expression" dxfId="3" priority="2">
      <formula>$G8="En prueba"</formula>
    </cfRule>
    <cfRule type="expression" dxfId="2" priority="3">
      <formula>$G8="Pendiente"</formula>
    </cfRule>
    <cfRule type="expression" dxfId="1" priority="4">
      <formula>$G8="Revisar"</formula>
    </cfRule>
  </conditionalFormatting>
  <dataValidations count="1">
    <dataValidation type="list" sqref="G8:G200" xr:uid="{00000000-0002-0000-0300-000000000000}">
      <formula1>"Pendiente,En prueba,OK,Revisar"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showGridLines="0" workbookViewId="0">
      <pane xSplit="7" ySplit="4" topLeftCell="H5" activePane="bottomRight" state="frozen"/>
      <selection pane="topRight"/>
      <selection pane="bottomLeft"/>
      <selection pane="bottomRight" sqref="A1:AA1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28" customWidth="1"/>
    <col min="4" max="4" width="14" customWidth="1"/>
    <col min="5" max="5" width="8" customWidth="1"/>
    <col min="6" max="6" width="9" customWidth="1"/>
    <col min="7" max="7" width="8" customWidth="1"/>
    <col min="8" max="27" width="4.42578125" customWidth="1"/>
  </cols>
  <sheetData>
    <row r="1" spans="1:27" ht="19.5" x14ac:dyDescent="0.25">
      <c r="A1" s="39" t="s">
        <v>341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5">
      <c r="A2" s="40" t="s">
        <v>342</v>
      </c>
      <c r="B2" s="34"/>
      <c r="C2" s="34"/>
      <c r="D2" s="34"/>
      <c r="E2" s="34"/>
      <c r="F2" s="34"/>
    </row>
    <row r="3" spans="1:27" x14ac:dyDescent="0.25">
      <c r="H3" s="27">
        <v>1</v>
      </c>
      <c r="I3" s="27">
        <v>2</v>
      </c>
      <c r="J3" s="27">
        <v>3</v>
      </c>
      <c r="K3" s="27">
        <v>4</v>
      </c>
      <c r="L3" s="27">
        <v>5</v>
      </c>
      <c r="M3" s="27">
        <v>6</v>
      </c>
      <c r="N3" s="27">
        <v>7</v>
      </c>
      <c r="O3" s="27">
        <v>8</v>
      </c>
      <c r="P3" s="27">
        <v>9</v>
      </c>
      <c r="Q3" s="27">
        <v>10</v>
      </c>
      <c r="R3" s="27">
        <v>11</v>
      </c>
      <c r="S3" s="27">
        <v>12</v>
      </c>
      <c r="T3" s="27">
        <v>13</v>
      </c>
      <c r="U3" s="27">
        <v>14</v>
      </c>
      <c r="V3" s="27">
        <v>15</v>
      </c>
      <c r="W3" s="27">
        <v>16</v>
      </c>
      <c r="X3" s="27">
        <v>17</v>
      </c>
      <c r="Y3" s="27">
        <v>18</v>
      </c>
      <c r="Z3" s="27">
        <v>19</v>
      </c>
      <c r="AA3" s="27">
        <v>20</v>
      </c>
    </row>
    <row r="4" spans="1:27" x14ac:dyDescent="0.25">
      <c r="A4" s="14" t="s">
        <v>245</v>
      </c>
      <c r="B4" s="14" t="s">
        <v>244</v>
      </c>
      <c r="C4" s="14" t="s">
        <v>246</v>
      </c>
      <c r="D4" s="14" t="s">
        <v>247</v>
      </c>
      <c r="E4" s="14" t="s">
        <v>343</v>
      </c>
      <c r="F4" s="14" t="s">
        <v>344</v>
      </c>
      <c r="G4" s="14" t="s">
        <v>345</v>
      </c>
      <c r="H4" s="14" t="s">
        <v>346</v>
      </c>
      <c r="I4" s="14" t="s">
        <v>98</v>
      </c>
      <c r="J4" s="14" t="s">
        <v>91</v>
      </c>
      <c r="K4" s="14" t="s">
        <v>347</v>
      </c>
      <c r="L4" s="14" t="s">
        <v>131</v>
      </c>
      <c r="M4" s="14" t="s">
        <v>126</v>
      </c>
      <c r="N4" s="14" t="s">
        <v>348</v>
      </c>
      <c r="O4" s="14" t="s">
        <v>349</v>
      </c>
      <c r="P4" s="14" t="s">
        <v>150</v>
      </c>
      <c r="Q4" s="14" t="s">
        <v>155</v>
      </c>
      <c r="R4" s="14" t="s">
        <v>161</v>
      </c>
      <c r="S4" s="14" t="s">
        <v>166</v>
      </c>
      <c r="T4" s="14" t="s">
        <v>171</v>
      </c>
      <c r="U4" s="14" t="s">
        <v>350</v>
      </c>
      <c r="V4" s="14" t="s">
        <v>351</v>
      </c>
      <c r="W4" s="14" t="s">
        <v>352</v>
      </c>
      <c r="X4" s="14" t="s">
        <v>353</v>
      </c>
      <c r="Y4" s="14" t="s">
        <v>354</v>
      </c>
      <c r="Z4" s="14" t="s">
        <v>355</v>
      </c>
      <c r="AA4" s="14" t="s">
        <v>356</v>
      </c>
    </row>
    <row r="5" spans="1:27" x14ac:dyDescent="0.25">
      <c r="A5" s="28" t="s">
        <v>76</v>
      </c>
      <c r="B5" s="28" t="s">
        <v>254</v>
      </c>
      <c r="C5" s="28" t="s">
        <v>357</v>
      </c>
      <c r="D5" s="28" t="s">
        <v>256</v>
      </c>
      <c r="E5" s="28">
        <v>1</v>
      </c>
      <c r="F5" s="28">
        <v>1</v>
      </c>
      <c r="G5" s="28">
        <f t="shared" ref="G5:G27" si="0">E5+F5-1</f>
        <v>1</v>
      </c>
      <c r="H5" s="24">
        <f t="shared" ref="H5:H27" si="1">IF(AND(H$3&gt;=E5,H$3&lt;=G5),1,"")</f>
        <v>1</v>
      </c>
      <c r="I5" s="24" t="str">
        <f t="shared" ref="I5:I27" si="2">IF(AND(I$3&gt;=E5,I$3&lt;=G5),1,"")</f>
        <v/>
      </c>
      <c r="J5" s="24" t="str">
        <f t="shared" ref="J5:J27" si="3">IF(AND(J$3&gt;=E5,J$3&lt;=G5),1,"")</f>
        <v/>
      </c>
      <c r="K5" s="24" t="str">
        <f t="shared" ref="K5:K27" si="4">IF(AND(K$3&gt;=E5,K$3&lt;=G5),1,"")</f>
        <v/>
      </c>
      <c r="L5" s="24" t="str">
        <f t="shared" ref="L5:L27" si="5">IF(AND(L$3&gt;=E5,L$3&lt;=G5),1,"")</f>
        <v/>
      </c>
      <c r="M5" s="24" t="str">
        <f t="shared" ref="M5:M27" si="6">IF(AND(M$3&gt;=E5,M$3&lt;=G5),1,"")</f>
        <v/>
      </c>
      <c r="N5" s="24" t="str">
        <f t="shared" ref="N5:N27" si="7">IF(AND(N$3&gt;=E5,N$3&lt;=G5),1,"")</f>
        <v/>
      </c>
      <c r="O5" s="24" t="str">
        <f t="shared" ref="O5:O27" si="8">IF(AND(O$3&gt;=E5,O$3&lt;=G5),1,"")</f>
        <v/>
      </c>
      <c r="P5" s="24" t="str">
        <f t="shared" ref="P5:P27" si="9">IF(AND(P$3&gt;=E5,P$3&lt;=G5),1,"")</f>
        <v/>
      </c>
      <c r="Q5" s="24" t="str">
        <f t="shared" ref="Q5:Q27" si="10">IF(AND(Q$3&gt;=E5,Q$3&lt;=G5),1,"")</f>
        <v/>
      </c>
      <c r="R5" s="24" t="str">
        <f t="shared" ref="R5:R27" si="11">IF(AND(R$3&gt;=E5,R$3&lt;=G5),1,"")</f>
        <v/>
      </c>
      <c r="S5" s="24" t="str">
        <f t="shared" ref="S5:S27" si="12">IF(AND(S$3&gt;=E5,S$3&lt;=G5),1,"")</f>
        <v/>
      </c>
      <c r="T5" s="24" t="str">
        <f t="shared" ref="T5:T27" si="13">IF(AND(T$3&gt;=E5,T$3&lt;=G5),1,"")</f>
        <v/>
      </c>
      <c r="U5" s="24" t="str">
        <f t="shared" ref="U5:U27" si="14">IF(AND(U$3&gt;=E5,U$3&lt;=G5),1,"")</f>
        <v/>
      </c>
      <c r="V5" s="24" t="str">
        <f t="shared" ref="V5:V27" si="15">IF(AND(V$3&gt;=E5,V$3&lt;=G5),1,"")</f>
        <v/>
      </c>
      <c r="W5" s="24" t="str">
        <f t="shared" ref="W5:W27" si="16">IF(AND(W$3&gt;=E5,W$3&lt;=G5),1,"")</f>
        <v/>
      </c>
      <c r="X5" s="24" t="str">
        <f t="shared" ref="X5:X27" si="17">IF(AND(X$3&gt;=E5,X$3&lt;=G5),1,"")</f>
        <v/>
      </c>
      <c r="Y5" s="24" t="str">
        <f t="shared" ref="Y5:Y27" si="18">IF(AND(Y$3&gt;=E5,Y$3&lt;=G5),1,"")</f>
        <v/>
      </c>
      <c r="Z5" s="24" t="str">
        <f t="shared" ref="Z5:Z27" si="19">IF(AND(Z$3&gt;=E5,Z$3&lt;=G5),1,"")</f>
        <v/>
      </c>
      <c r="AA5" s="24" t="str">
        <f t="shared" ref="AA5:AA27" si="20">IF(AND(AA$3&gt;=E5,AA$3&lt;=G5),1,"")</f>
        <v/>
      </c>
    </row>
    <row r="6" spans="1:27" x14ac:dyDescent="0.25">
      <c r="A6" s="28" t="s">
        <v>76</v>
      </c>
      <c r="B6" s="28" t="s">
        <v>260</v>
      </c>
      <c r="C6" s="28" t="s">
        <v>104</v>
      </c>
      <c r="D6" s="28" t="s">
        <v>256</v>
      </c>
      <c r="E6" s="28">
        <v>1</v>
      </c>
      <c r="F6" s="28">
        <v>1</v>
      </c>
      <c r="G6" s="28">
        <f t="shared" si="0"/>
        <v>1</v>
      </c>
      <c r="H6" s="24">
        <f t="shared" si="1"/>
        <v>1</v>
      </c>
      <c r="I6" s="24" t="str">
        <f t="shared" si="2"/>
        <v/>
      </c>
      <c r="J6" s="24" t="str">
        <f t="shared" si="3"/>
        <v/>
      </c>
      <c r="K6" s="24" t="str">
        <f t="shared" si="4"/>
        <v/>
      </c>
      <c r="L6" s="24" t="str">
        <f t="shared" si="5"/>
        <v/>
      </c>
      <c r="M6" s="24" t="str">
        <f t="shared" si="6"/>
        <v/>
      </c>
      <c r="N6" s="24" t="str">
        <f t="shared" si="7"/>
        <v/>
      </c>
      <c r="O6" s="24" t="str">
        <f t="shared" si="8"/>
        <v/>
      </c>
      <c r="P6" s="24" t="str">
        <f t="shared" si="9"/>
        <v/>
      </c>
      <c r="Q6" s="24" t="str">
        <f t="shared" si="10"/>
        <v/>
      </c>
      <c r="R6" s="24" t="str">
        <f t="shared" si="11"/>
        <v/>
      </c>
      <c r="S6" s="24" t="str">
        <f t="shared" si="12"/>
        <v/>
      </c>
      <c r="T6" s="24" t="str">
        <f t="shared" si="13"/>
        <v/>
      </c>
      <c r="U6" s="24" t="str">
        <f t="shared" si="14"/>
        <v/>
      </c>
      <c r="V6" s="24" t="str">
        <f t="shared" si="15"/>
        <v/>
      </c>
      <c r="W6" s="24" t="str">
        <f t="shared" si="16"/>
        <v/>
      </c>
      <c r="X6" s="24" t="str">
        <f t="shared" si="17"/>
        <v/>
      </c>
      <c r="Y6" s="24" t="str">
        <f t="shared" si="18"/>
        <v/>
      </c>
      <c r="Z6" s="24" t="str">
        <f t="shared" si="19"/>
        <v/>
      </c>
      <c r="AA6" s="24" t="str">
        <f t="shared" si="20"/>
        <v/>
      </c>
    </row>
    <row r="7" spans="1:27" x14ac:dyDescent="0.25">
      <c r="A7" s="28" t="s">
        <v>76</v>
      </c>
      <c r="B7" s="28" t="s">
        <v>265</v>
      </c>
      <c r="C7" s="28" t="s">
        <v>358</v>
      </c>
      <c r="D7" s="28" t="s">
        <v>256</v>
      </c>
      <c r="E7" s="28">
        <v>1</v>
      </c>
      <c r="F7" s="28">
        <v>1</v>
      </c>
      <c r="G7" s="28">
        <f t="shared" si="0"/>
        <v>1</v>
      </c>
      <c r="H7" s="24">
        <f t="shared" si="1"/>
        <v>1</v>
      </c>
      <c r="I7" s="24" t="str">
        <f t="shared" si="2"/>
        <v/>
      </c>
      <c r="J7" s="24" t="str">
        <f t="shared" si="3"/>
        <v/>
      </c>
      <c r="K7" s="24" t="str">
        <f t="shared" si="4"/>
        <v/>
      </c>
      <c r="L7" s="24" t="str">
        <f t="shared" si="5"/>
        <v/>
      </c>
      <c r="M7" s="24" t="str">
        <f t="shared" si="6"/>
        <v/>
      </c>
      <c r="N7" s="24" t="str">
        <f t="shared" si="7"/>
        <v/>
      </c>
      <c r="O7" s="24" t="str">
        <f t="shared" si="8"/>
        <v/>
      </c>
      <c r="P7" s="24" t="str">
        <f t="shared" si="9"/>
        <v/>
      </c>
      <c r="Q7" s="24" t="str">
        <f t="shared" si="10"/>
        <v/>
      </c>
      <c r="R7" s="24" t="str">
        <f t="shared" si="11"/>
        <v/>
      </c>
      <c r="S7" s="24" t="str">
        <f t="shared" si="12"/>
        <v/>
      </c>
      <c r="T7" s="24" t="str">
        <f t="shared" si="13"/>
        <v/>
      </c>
      <c r="U7" s="24" t="str">
        <f t="shared" si="14"/>
        <v/>
      </c>
      <c r="V7" s="24" t="str">
        <f t="shared" si="15"/>
        <v/>
      </c>
      <c r="W7" s="24" t="str">
        <f t="shared" si="16"/>
        <v/>
      </c>
      <c r="X7" s="24" t="str">
        <f t="shared" si="17"/>
        <v/>
      </c>
      <c r="Y7" s="24" t="str">
        <f t="shared" si="18"/>
        <v/>
      </c>
      <c r="Z7" s="24" t="str">
        <f t="shared" si="19"/>
        <v/>
      </c>
      <c r="AA7" s="24" t="str">
        <f t="shared" si="20"/>
        <v/>
      </c>
    </row>
    <row r="8" spans="1:27" x14ac:dyDescent="0.25">
      <c r="A8" s="29" t="s">
        <v>83</v>
      </c>
      <c r="B8" s="29" t="s">
        <v>271</v>
      </c>
      <c r="C8" s="29" t="s">
        <v>359</v>
      </c>
      <c r="D8" s="29" t="s">
        <v>83</v>
      </c>
      <c r="E8" s="29">
        <v>2</v>
      </c>
      <c r="F8" s="29">
        <v>1</v>
      </c>
      <c r="G8" s="29">
        <f t="shared" si="0"/>
        <v>2</v>
      </c>
      <c r="H8" s="24" t="str">
        <f t="shared" si="1"/>
        <v/>
      </c>
      <c r="I8" s="24">
        <f t="shared" si="2"/>
        <v>1</v>
      </c>
      <c r="J8" s="24" t="str">
        <f t="shared" si="3"/>
        <v/>
      </c>
      <c r="K8" s="24" t="str">
        <f t="shared" si="4"/>
        <v/>
      </c>
      <c r="L8" s="24" t="str">
        <f t="shared" si="5"/>
        <v/>
      </c>
      <c r="M8" s="24" t="str">
        <f t="shared" si="6"/>
        <v/>
      </c>
      <c r="N8" s="24" t="str">
        <f t="shared" si="7"/>
        <v/>
      </c>
      <c r="O8" s="24" t="str">
        <f t="shared" si="8"/>
        <v/>
      </c>
      <c r="P8" s="24" t="str">
        <f t="shared" si="9"/>
        <v/>
      </c>
      <c r="Q8" s="24" t="str">
        <f t="shared" si="10"/>
        <v/>
      </c>
      <c r="R8" s="24" t="str">
        <f t="shared" si="11"/>
        <v/>
      </c>
      <c r="S8" s="24" t="str">
        <f t="shared" si="12"/>
        <v/>
      </c>
      <c r="T8" s="24" t="str">
        <f t="shared" si="13"/>
        <v/>
      </c>
      <c r="U8" s="24" t="str">
        <f t="shared" si="14"/>
        <v/>
      </c>
      <c r="V8" s="24" t="str">
        <f t="shared" si="15"/>
        <v/>
      </c>
      <c r="W8" s="24" t="str">
        <f t="shared" si="16"/>
        <v/>
      </c>
      <c r="X8" s="24" t="str">
        <f t="shared" si="17"/>
        <v/>
      </c>
      <c r="Y8" s="24" t="str">
        <f t="shared" si="18"/>
        <v/>
      </c>
      <c r="Z8" s="24" t="str">
        <f t="shared" si="19"/>
        <v/>
      </c>
      <c r="AA8" s="24" t="str">
        <f t="shared" si="20"/>
        <v/>
      </c>
    </row>
    <row r="9" spans="1:27" x14ac:dyDescent="0.25">
      <c r="A9" s="29" t="s">
        <v>83</v>
      </c>
      <c r="B9" s="29" t="s">
        <v>275</v>
      </c>
      <c r="C9" s="29" t="s">
        <v>360</v>
      </c>
      <c r="D9" s="29" t="s">
        <v>83</v>
      </c>
      <c r="E9" s="29">
        <v>2</v>
      </c>
      <c r="F9" s="29">
        <v>1</v>
      </c>
      <c r="G9" s="29">
        <f t="shared" si="0"/>
        <v>2</v>
      </c>
      <c r="H9" s="24" t="str">
        <f t="shared" si="1"/>
        <v/>
      </c>
      <c r="I9" s="24">
        <f t="shared" si="2"/>
        <v>1</v>
      </c>
      <c r="J9" s="24" t="str">
        <f t="shared" si="3"/>
        <v/>
      </c>
      <c r="K9" s="24" t="str">
        <f t="shared" si="4"/>
        <v/>
      </c>
      <c r="L9" s="24" t="str">
        <f t="shared" si="5"/>
        <v/>
      </c>
      <c r="M9" s="24" t="str">
        <f t="shared" si="6"/>
        <v/>
      </c>
      <c r="N9" s="24" t="str">
        <f t="shared" si="7"/>
        <v/>
      </c>
      <c r="O9" s="24" t="str">
        <f t="shared" si="8"/>
        <v/>
      </c>
      <c r="P9" s="24" t="str">
        <f t="shared" si="9"/>
        <v/>
      </c>
      <c r="Q9" s="24" t="str">
        <f t="shared" si="10"/>
        <v/>
      </c>
      <c r="R9" s="24" t="str">
        <f t="shared" si="11"/>
        <v/>
      </c>
      <c r="S9" s="24" t="str">
        <f t="shared" si="12"/>
        <v/>
      </c>
      <c r="T9" s="24" t="str">
        <f t="shared" si="13"/>
        <v/>
      </c>
      <c r="U9" s="24" t="str">
        <f t="shared" si="14"/>
        <v/>
      </c>
      <c r="V9" s="24" t="str">
        <f t="shared" si="15"/>
        <v/>
      </c>
      <c r="W9" s="24" t="str">
        <f t="shared" si="16"/>
        <v/>
      </c>
      <c r="X9" s="24" t="str">
        <f t="shared" si="17"/>
        <v/>
      </c>
      <c r="Y9" s="24" t="str">
        <f t="shared" si="18"/>
        <v/>
      </c>
      <c r="Z9" s="24" t="str">
        <f t="shared" si="19"/>
        <v/>
      </c>
      <c r="AA9" s="24" t="str">
        <f t="shared" si="20"/>
        <v/>
      </c>
    </row>
    <row r="10" spans="1:27" x14ac:dyDescent="0.25">
      <c r="A10" s="29" t="s">
        <v>83</v>
      </c>
      <c r="B10" s="29" t="s">
        <v>278</v>
      </c>
      <c r="C10" s="29" t="s">
        <v>361</v>
      </c>
      <c r="D10" s="29" t="s">
        <v>83</v>
      </c>
      <c r="E10" s="29">
        <v>3</v>
      </c>
      <c r="F10" s="29">
        <v>1</v>
      </c>
      <c r="G10" s="29">
        <f t="shared" si="0"/>
        <v>3</v>
      </c>
      <c r="H10" s="24" t="str">
        <f t="shared" si="1"/>
        <v/>
      </c>
      <c r="I10" s="24" t="str">
        <f t="shared" si="2"/>
        <v/>
      </c>
      <c r="J10" s="24">
        <f t="shared" si="3"/>
        <v>1</v>
      </c>
      <c r="K10" s="24" t="str">
        <f t="shared" si="4"/>
        <v/>
      </c>
      <c r="L10" s="24" t="str">
        <f t="shared" si="5"/>
        <v/>
      </c>
      <c r="M10" s="24" t="str">
        <f t="shared" si="6"/>
        <v/>
      </c>
      <c r="N10" s="24" t="str">
        <f t="shared" si="7"/>
        <v/>
      </c>
      <c r="O10" s="24" t="str">
        <f t="shared" si="8"/>
        <v/>
      </c>
      <c r="P10" s="24" t="str">
        <f t="shared" si="9"/>
        <v/>
      </c>
      <c r="Q10" s="24" t="str">
        <f t="shared" si="10"/>
        <v/>
      </c>
      <c r="R10" s="24" t="str">
        <f t="shared" si="11"/>
        <v/>
      </c>
      <c r="S10" s="24" t="str">
        <f t="shared" si="12"/>
        <v/>
      </c>
      <c r="T10" s="24" t="str">
        <f t="shared" si="13"/>
        <v/>
      </c>
      <c r="U10" s="24" t="str">
        <f t="shared" si="14"/>
        <v/>
      </c>
      <c r="V10" s="24" t="str">
        <f t="shared" si="15"/>
        <v/>
      </c>
      <c r="W10" s="24" t="str">
        <f t="shared" si="16"/>
        <v/>
      </c>
      <c r="X10" s="24" t="str">
        <f t="shared" si="17"/>
        <v/>
      </c>
      <c r="Y10" s="24" t="str">
        <f t="shared" si="18"/>
        <v/>
      </c>
      <c r="Z10" s="24" t="str">
        <f t="shared" si="19"/>
        <v/>
      </c>
      <c r="AA10" s="24" t="str">
        <f t="shared" si="20"/>
        <v/>
      </c>
    </row>
    <row r="11" spans="1:27" x14ac:dyDescent="0.25">
      <c r="A11" s="29" t="s">
        <v>83</v>
      </c>
      <c r="B11" s="29" t="s">
        <v>281</v>
      </c>
      <c r="C11" s="29" t="s">
        <v>362</v>
      </c>
      <c r="D11" s="29" t="s">
        <v>83</v>
      </c>
      <c r="E11" s="29">
        <v>4</v>
      </c>
      <c r="F11" s="29">
        <v>2</v>
      </c>
      <c r="G11" s="29">
        <f t="shared" si="0"/>
        <v>5</v>
      </c>
      <c r="H11" s="24" t="str">
        <f t="shared" si="1"/>
        <v/>
      </c>
      <c r="I11" s="24" t="str">
        <f t="shared" si="2"/>
        <v/>
      </c>
      <c r="J11" s="24" t="str">
        <f t="shared" si="3"/>
        <v/>
      </c>
      <c r="K11" s="24">
        <f t="shared" si="4"/>
        <v>1</v>
      </c>
      <c r="L11" s="24">
        <f t="shared" si="5"/>
        <v>1</v>
      </c>
      <c r="M11" s="24" t="str">
        <f t="shared" si="6"/>
        <v/>
      </c>
      <c r="N11" s="24" t="str">
        <f t="shared" si="7"/>
        <v/>
      </c>
      <c r="O11" s="24" t="str">
        <f t="shared" si="8"/>
        <v/>
      </c>
      <c r="P11" s="24" t="str">
        <f t="shared" si="9"/>
        <v/>
      </c>
      <c r="Q11" s="24" t="str">
        <f t="shared" si="10"/>
        <v/>
      </c>
      <c r="R11" s="24" t="str">
        <f t="shared" si="11"/>
        <v/>
      </c>
      <c r="S11" s="24" t="str">
        <f t="shared" si="12"/>
        <v/>
      </c>
      <c r="T11" s="24" t="str">
        <f t="shared" si="13"/>
        <v/>
      </c>
      <c r="U11" s="24" t="str">
        <f t="shared" si="14"/>
        <v/>
      </c>
      <c r="V11" s="24" t="str">
        <f t="shared" si="15"/>
        <v/>
      </c>
      <c r="W11" s="24" t="str">
        <f t="shared" si="16"/>
        <v/>
      </c>
      <c r="X11" s="24" t="str">
        <f t="shared" si="17"/>
        <v/>
      </c>
      <c r="Y11" s="24" t="str">
        <f t="shared" si="18"/>
        <v/>
      </c>
      <c r="Z11" s="24" t="str">
        <f t="shared" si="19"/>
        <v/>
      </c>
      <c r="AA11" s="24" t="str">
        <f t="shared" si="20"/>
        <v/>
      </c>
    </row>
    <row r="12" spans="1:27" x14ac:dyDescent="0.25">
      <c r="A12" s="29" t="s">
        <v>83</v>
      </c>
      <c r="B12" s="29" t="s">
        <v>285</v>
      </c>
      <c r="C12" s="29" t="s">
        <v>363</v>
      </c>
      <c r="D12" s="29" t="s">
        <v>83</v>
      </c>
      <c r="E12" s="29">
        <v>6</v>
      </c>
      <c r="F12" s="29">
        <v>2</v>
      </c>
      <c r="G12" s="29">
        <f t="shared" si="0"/>
        <v>7</v>
      </c>
      <c r="H12" s="24" t="str">
        <f t="shared" si="1"/>
        <v/>
      </c>
      <c r="I12" s="24" t="str">
        <f t="shared" si="2"/>
        <v/>
      </c>
      <c r="J12" s="24" t="str">
        <f t="shared" si="3"/>
        <v/>
      </c>
      <c r="K12" s="24" t="str">
        <f t="shared" si="4"/>
        <v/>
      </c>
      <c r="L12" s="24" t="str">
        <f t="shared" si="5"/>
        <v/>
      </c>
      <c r="M12" s="24">
        <f t="shared" si="6"/>
        <v>1</v>
      </c>
      <c r="N12" s="24">
        <f t="shared" si="7"/>
        <v>1</v>
      </c>
      <c r="O12" s="24" t="str">
        <f t="shared" si="8"/>
        <v/>
      </c>
      <c r="P12" s="24" t="str">
        <f t="shared" si="9"/>
        <v/>
      </c>
      <c r="Q12" s="24" t="str">
        <f t="shared" si="10"/>
        <v/>
      </c>
      <c r="R12" s="24" t="str">
        <f t="shared" si="11"/>
        <v/>
      </c>
      <c r="S12" s="24" t="str">
        <f t="shared" si="12"/>
        <v/>
      </c>
      <c r="T12" s="24" t="str">
        <f t="shared" si="13"/>
        <v/>
      </c>
      <c r="U12" s="24" t="str">
        <f t="shared" si="14"/>
        <v/>
      </c>
      <c r="V12" s="24" t="str">
        <f t="shared" si="15"/>
        <v/>
      </c>
      <c r="W12" s="24" t="str">
        <f t="shared" si="16"/>
        <v/>
      </c>
      <c r="X12" s="24" t="str">
        <f t="shared" si="17"/>
        <v/>
      </c>
      <c r="Y12" s="24" t="str">
        <f t="shared" si="18"/>
        <v/>
      </c>
      <c r="Z12" s="24" t="str">
        <f t="shared" si="19"/>
        <v/>
      </c>
      <c r="AA12" s="24" t="str">
        <f t="shared" si="20"/>
        <v/>
      </c>
    </row>
    <row r="13" spans="1:27" x14ac:dyDescent="0.25">
      <c r="A13" s="29" t="s">
        <v>83</v>
      </c>
      <c r="B13" s="29" t="s">
        <v>289</v>
      </c>
      <c r="C13" s="29" t="s">
        <v>364</v>
      </c>
      <c r="D13" s="29" t="s">
        <v>83</v>
      </c>
      <c r="E13" s="29">
        <v>8</v>
      </c>
      <c r="F13" s="29">
        <v>1</v>
      </c>
      <c r="G13" s="29">
        <f t="shared" si="0"/>
        <v>8</v>
      </c>
      <c r="H13" s="24" t="str">
        <f t="shared" si="1"/>
        <v/>
      </c>
      <c r="I13" s="24" t="str">
        <f t="shared" si="2"/>
        <v/>
      </c>
      <c r="J13" s="24" t="str">
        <f t="shared" si="3"/>
        <v/>
      </c>
      <c r="K13" s="24" t="str">
        <f t="shared" si="4"/>
        <v/>
      </c>
      <c r="L13" s="24" t="str">
        <f t="shared" si="5"/>
        <v/>
      </c>
      <c r="M13" s="24" t="str">
        <f t="shared" si="6"/>
        <v/>
      </c>
      <c r="N13" s="24" t="str">
        <f t="shared" si="7"/>
        <v/>
      </c>
      <c r="O13" s="24">
        <f t="shared" si="8"/>
        <v>1</v>
      </c>
      <c r="P13" s="24" t="str">
        <f t="shared" si="9"/>
        <v/>
      </c>
      <c r="Q13" s="24" t="str">
        <f t="shared" si="10"/>
        <v/>
      </c>
      <c r="R13" s="24" t="str">
        <f t="shared" si="11"/>
        <v/>
      </c>
      <c r="S13" s="24" t="str">
        <f t="shared" si="12"/>
        <v/>
      </c>
      <c r="T13" s="24" t="str">
        <f t="shared" si="13"/>
        <v/>
      </c>
      <c r="U13" s="24" t="str">
        <f t="shared" si="14"/>
        <v/>
      </c>
      <c r="V13" s="24" t="str">
        <f t="shared" si="15"/>
        <v/>
      </c>
      <c r="W13" s="24" t="str">
        <f t="shared" si="16"/>
        <v/>
      </c>
      <c r="X13" s="24" t="str">
        <f t="shared" si="17"/>
        <v/>
      </c>
      <c r="Y13" s="24" t="str">
        <f t="shared" si="18"/>
        <v/>
      </c>
      <c r="Z13" s="24" t="str">
        <f t="shared" si="19"/>
        <v/>
      </c>
      <c r="AA13" s="24" t="str">
        <f t="shared" si="20"/>
        <v/>
      </c>
    </row>
    <row r="14" spans="1:27" x14ac:dyDescent="0.25">
      <c r="A14" s="30" t="s">
        <v>84</v>
      </c>
      <c r="B14" s="30" t="s">
        <v>293</v>
      </c>
      <c r="C14" s="30" t="s">
        <v>365</v>
      </c>
      <c r="D14" s="30" t="s">
        <v>84</v>
      </c>
      <c r="E14" s="30">
        <v>9</v>
      </c>
      <c r="F14" s="30">
        <v>1</v>
      </c>
      <c r="G14" s="30">
        <f t="shared" si="0"/>
        <v>9</v>
      </c>
      <c r="H14" s="24" t="str">
        <f t="shared" si="1"/>
        <v/>
      </c>
      <c r="I14" s="24" t="str">
        <f t="shared" si="2"/>
        <v/>
      </c>
      <c r="J14" s="24" t="str">
        <f t="shared" si="3"/>
        <v/>
      </c>
      <c r="K14" s="24" t="str">
        <f t="shared" si="4"/>
        <v/>
      </c>
      <c r="L14" s="24" t="str">
        <f t="shared" si="5"/>
        <v/>
      </c>
      <c r="M14" s="24" t="str">
        <f t="shared" si="6"/>
        <v/>
      </c>
      <c r="N14" s="24" t="str">
        <f t="shared" si="7"/>
        <v/>
      </c>
      <c r="O14" s="24" t="str">
        <f t="shared" si="8"/>
        <v/>
      </c>
      <c r="P14" s="24">
        <f t="shared" si="9"/>
        <v>1</v>
      </c>
      <c r="Q14" s="24" t="str">
        <f t="shared" si="10"/>
        <v/>
      </c>
      <c r="R14" s="24" t="str">
        <f t="shared" si="11"/>
        <v/>
      </c>
      <c r="S14" s="24" t="str">
        <f t="shared" si="12"/>
        <v/>
      </c>
      <c r="T14" s="24" t="str">
        <f t="shared" si="13"/>
        <v/>
      </c>
      <c r="U14" s="24" t="str">
        <f t="shared" si="14"/>
        <v/>
      </c>
      <c r="V14" s="24" t="str">
        <f t="shared" si="15"/>
        <v/>
      </c>
      <c r="W14" s="24" t="str">
        <f t="shared" si="16"/>
        <v/>
      </c>
      <c r="X14" s="24" t="str">
        <f t="shared" si="17"/>
        <v/>
      </c>
      <c r="Y14" s="24" t="str">
        <f t="shared" si="18"/>
        <v/>
      </c>
      <c r="Z14" s="24" t="str">
        <f t="shared" si="19"/>
        <v/>
      </c>
      <c r="AA14" s="24" t="str">
        <f t="shared" si="20"/>
        <v/>
      </c>
    </row>
    <row r="15" spans="1:27" x14ac:dyDescent="0.25">
      <c r="A15" s="30" t="s">
        <v>84</v>
      </c>
      <c r="B15" s="30" t="s">
        <v>296</v>
      </c>
      <c r="C15" s="30" t="s">
        <v>366</v>
      </c>
      <c r="D15" s="30" t="s">
        <v>84</v>
      </c>
      <c r="E15" s="30">
        <v>9</v>
      </c>
      <c r="F15" s="30">
        <v>1</v>
      </c>
      <c r="G15" s="30">
        <f t="shared" si="0"/>
        <v>9</v>
      </c>
      <c r="H15" s="24" t="str">
        <f t="shared" si="1"/>
        <v/>
      </c>
      <c r="I15" s="24" t="str">
        <f t="shared" si="2"/>
        <v/>
      </c>
      <c r="J15" s="24" t="str">
        <f t="shared" si="3"/>
        <v/>
      </c>
      <c r="K15" s="24" t="str">
        <f t="shared" si="4"/>
        <v/>
      </c>
      <c r="L15" s="24" t="str">
        <f t="shared" si="5"/>
        <v/>
      </c>
      <c r="M15" s="24" t="str">
        <f t="shared" si="6"/>
        <v/>
      </c>
      <c r="N15" s="24" t="str">
        <f t="shared" si="7"/>
        <v/>
      </c>
      <c r="O15" s="24" t="str">
        <f t="shared" si="8"/>
        <v/>
      </c>
      <c r="P15" s="24">
        <f t="shared" si="9"/>
        <v>1</v>
      </c>
      <c r="Q15" s="24" t="str">
        <f t="shared" si="10"/>
        <v/>
      </c>
      <c r="R15" s="24" t="str">
        <f t="shared" si="11"/>
        <v/>
      </c>
      <c r="S15" s="24" t="str">
        <f t="shared" si="12"/>
        <v/>
      </c>
      <c r="T15" s="24" t="str">
        <f t="shared" si="13"/>
        <v/>
      </c>
      <c r="U15" s="24" t="str">
        <f t="shared" si="14"/>
        <v/>
      </c>
      <c r="V15" s="24" t="str">
        <f t="shared" si="15"/>
        <v/>
      </c>
      <c r="W15" s="24" t="str">
        <f t="shared" si="16"/>
        <v/>
      </c>
      <c r="X15" s="24" t="str">
        <f t="shared" si="17"/>
        <v/>
      </c>
      <c r="Y15" s="24" t="str">
        <f t="shared" si="18"/>
        <v/>
      </c>
      <c r="Z15" s="24" t="str">
        <f t="shared" si="19"/>
        <v/>
      </c>
      <c r="AA15" s="24" t="str">
        <f t="shared" si="20"/>
        <v/>
      </c>
    </row>
    <row r="16" spans="1:27" x14ac:dyDescent="0.25">
      <c r="A16" s="30" t="s">
        <v>84</v>
      </c>
      <c r="B16" s="30" t="s">
        <v>299</v>
      </c>
      <c r="C16" s="30" t="s">
        <v>367</v>
      </c>
      <c r="D16" s="30" t="s">
        <v>84</v>
      </c>
      <c r="E16" s="30">
        <v>10</v>
      </c>
      <c r="F16" s="30">
        <v>1</v>
      </c>
      <c r="G16" s="30">
        <f t="shared" si="0"/>
        <v>10</v>
      </c>
      <c r="H16" s="24" t="str">
        <f t="shared" si="1"/>
        <v/>
      </c>
      <c r="I16" s="24" t="str">
        <f t="shared" si="2"/>
        <v/>
      </c>
      <c r="J16" s="24" t="str">
        <f t="shared" si="3"/>
        <v/>
      </c>
      <c r="K16" s="24" t="str">
        <f t="shared" si="4"/>
        <v/>
      </c>
      <c r="L16" s="24" t="str">
        <f t="shared" si="5"/>
        <v/>
      </c>
      <c r="M16" s="24" t="str">
        <f t="shared" si="6"/>
        <v/>
      </c>
      <c r="N16" s="24" t="str">
        <f t="shared" si="7"/>
        <v/>
      </c>
      <c r="O16" s="24" t="str">
        <f t="shared" si="8"/>
        <v/>
      </c>
      <c r="P16" s="24" t="str">
        <f t="shared" si="9"/>
        <v/>
      </c>
      <c r="Q16" s="24">
        <f t="shared" si="10"/>
        <v>1</v>
      </c>
      <c r="R16" s="24" t="str">
        <f t="shared" si="11"/>
        <v/>
      </c>
      <c r="S16" s="24" t="str">
        <f t="shared" si="12"/>
        <v/>
      </c>
      <c r="T16" s="24" t="str">
        <f t="shared" si="13"/>
        <v/>
      </c>
      <c r="U16" s="24" t="str">
        <f t="shared" si="14"/>
        <v/>
      </c>
      <c r="V16" s="24" t="str">
        <f t="shared" si="15"/>
        <v/>
      </c>
      <c r="W16" s="24" t="str">
        <f t="shared" si="16"/>
        <v/>
      </c>
      <c r="X16" s="24" t="str">
        <f t="shared" si="17"/>
        <v/>
      </c>
      <c r="Y16" s="24" t="str">
        <f t="shared" si="18"/>
        <v/>
      </c>
      <c r="Z16" s="24" t="str">
        <f t="shared" si="19"/>
        <v/>
      </c>
      <c r="AA16" s="24" t="str">
        <f t="shared" si="20"/>
        <v/>
      </c>
    </row>
    <row r="17" spans="1:27" x14ac:dyDescent="0.25">
      <c r="A17" s="30" t="s">
        <v>84</v>
      </c>
      <c r="B17" s="30" t="s">
        <v>302</v>
      </c>
      <c r="C17" s="30" t="s">
        <v>146</v>
      </c>
      <c r="D17" s="30" t="s">
        <v>84</v>
      </c>
      <c r="E17" s="30">
        <v>10</v>
      </c>
      <c r="F17" s="30">
        <v>1</v>
      </c>
      <c r="G17" s="30">
        <f t="shared" si="0"/>
        <v>10</v>
      </c>
      <c r="H17" s="24" t="str">
        <f t="shared" si="1"/>
        <v/>
      </c>
      <c r="I17" s="24" t="str">
        <f t="shared" si="2"/>
        <v/>
      </c>
      <c r="J17" s="24" t="str">
        <f t="shared" si="3"/>
        <v/>
      </c>
      <c r="K17" s="24" t="str">
        <f t="shared" si="4"/>
        <v/>
      </c>
      <c r="L17" s="24" t="str">
        <f t="shared" si="5"/>
        <v/>
      </c>
      <c r="M17" s="24" t="str">
        <f t="shared" si="6"/>
        <v/>
      </c>
      <c r="N17" s="24" t="str">
        <f t="shared" si="7"/>
        <v/>
      </c>
      <c r="O17" s="24" t="str">
        <f t="shared" si="8"/>
        <v/>
      </c>
      <c r="P17" s="24" t="str">
        <f t="shared" si="9"/>
        <v/>
      </c>
      <c r="Q17" s="24">
        <f t="shared" si="10"/>
        <v>1</v>
      </c>
      <c r="R17" s="24" t="str">
        <f t="shared" si="11"/>
        <v/>
      </c>
      <c r="S17" s="24" t="str">
        <f t="shared" si="12"/>
        <v/>
      </c>
      <c r="T17" s="24" t="str">
        <f t="shared" si="13"/>
        <v/>
      </c>
      <c r="U17" s="24" t="str">
        <f t="shared" si="14"/>
        <v/>
      </c>
      <c r="V17" s="24" t="str">
        <f t="shared" si="15"/>
        <v/>
      </c>
      <c r="W17" s="24" t="str">
        <f t="shared" si="16"/>
        <v/>
      </c>
      <c r="X17" s="24" t="str">
        <f t="shared" si="17"/>
        <v/>
      </c>
      <c r="Y17" s="24" t="str">
        <f t="shared" si="18"/>
        <v/>
      </c>
      <c r="Z17" s="24" t="str">
        <f t="shared" si="19"/>
        <v/>
      </c>
      <c r="AA17" s="24" t="str">
        <f t="shared" si="20"/>
        <v/>
      </c>
    </row>
    <row r="18" spans="1:27" x14ac:dyDescent="0.25">
      <c r="A18" s="30" t="s">
        <v>84</v>
      </c>
      <c r="B18" s="30" t="s">
        <v>305</v>
      </c>
      <c r="C18" s="30" t="s">
        <v>368</v>
      </c>
      <c r="D18" s="30" t="s">
        <v>84</v>
      </c>
      <c r="E18" s="30">
        <v>11</v>
      </c>
      <c r="F18" s="30">
        <v>1</v>
      </c>
      <c r="G18" s="30">
        <f t="shared" si="0"/>
        <v>11</v>
      </c>
      <c r="H18" s="24" t="str">
        <f t="shared" si="1"/>
        <v/>
      </c>
      <c r="I18" s="24" t="str">
        <f t="shared" si="2"/>
        <v/>
      </c>
      <c r="J18" s="24" t="str">
        <f t="shared" si="3"/>
        <v/>
      </c>
      <c r="K18" s="24" t="str">
        <f t="shared" si="4"/>
        <v/>
      </c>
      <c r="L18" s="24" t="str">
        <f t="shared" si="5"/>
        <v/>
      </c>
      <c r="M18" s="24" t="str">
        <f t="shared" si="6"/>
        <v/>
      </c>
      <c r="N18" s="24" t="str">
        <f t="shared" si="7"/>
        <v/>
      </c>
      <c r="O18" s="24" t="str">
        <f t="shared" si="8"/>
        <v/>
      </c>
      <c r="P18" s="24" t="str">
        <f t="shared" si="9"/>
        <v/>
      </c>
      <c r="Q18" s="24" t="str">
        <f t="shared" si="10"/>
        <v/>
      </c>
      <c r="R18" s="24">
        <f t="shared" si="11"/>
        <v>1</v>
      </c>
      <c r="S18" s="24" t="str">
        <f t="shared" si="12"/>
        <v/>
      </c>
      <c r="T18" s="24" t="str">
        <f t="shared" si="13"/>
        <v/>
      </c>
      <c r="U18" s="24" t="str">
        <f t="shared" si="14"/>
        <v/>
      </c>
      <c r="V18" s="24" t="str">
        <f t="shared" si="15"/>
        <v/>
      </c>
      <c r="W18" s="24" t="str">
        <f t="shared" si="16"/>
        <v/>
      </c>
      <c r="X18" s="24" t="str">
        <f t="shared" si="17"/>
        <v/>
      </c>
      <c r="Y18" s="24" t="str">
        <f t="shared" si="18"/>
        <v/>
      </c>
      <c r="Z18" s="24" t="str">
        <f t="shared" si="19"/>
        <v/>
      </c>
      <c r="AA18" s="24" t="str">
        <f t="shared" si="20"/>
        <v/>
      </c>
    </row>
    <row r="19" spans="1:27" x14ac:dyDescent="0.25">
      <c r="A19" s="29" t="s">
        <v>83</v>
      </c>
      <c r="B19" s="29" t="s">
        <v>309</v>
      </c>
      <c r="C19" s="29" t="s">
        <v>26</v>
      </c>
      <c r="D19" s="29" t="s">
        <v>83</v>
      </c>
      <c r="E19" s="29">
        <v>11</v>
      </c>
      <c r="F19" s="29">
        <v>1</v>
      </c>
      <c r="G19" s="29">
        <f t="shared" si="0"/>
        <v>11</v>
      </c>
      <c r="H19" s="24" t="str">
        <f t="shared" si="1"/>
        <v/>
      </c>
      <c r="I19" s="24" t="str">
        <f t="shared" si="2"/>
        <v/>
      </c>
      <c r="J19" s="24" t="str">
        <f t="shared" si="3"/>
        <v/>
      </c>
      <c r="K19" s="24" t="str">
        <f t="shared" si="4"/>
        <v/>
      </c>
      <c r="L19" s="24" t="str">
        <f t="shared" si="5"/>
        <v/>
      </c>
      <c r="M19" s="24" t="str">
        <f t="shared" si="6"/>
        <v/>
      </c>
      <c r="N19" s="24" t="str">
        <f t="shared" si="7"/>
        <v/>
      </c>
      <c r="O19" s="24" t="str">
        <f t="shared" si="8"/>
        <v/>
      </c>
      <c r="P19" s="24" t="str">
        <f t="shared" si="9"/>
        <v/>
      </c>
      <c r="Q19" s="24" t="str">
        <f t="shared" si="10"/>
        <v/>
      </c>
      <c r="R19" s="24">
        <f t="shared" si="11"/>
        <v>1</v>
      </c>
      <c r="S19" s="24" t="str">
        <f t="shared" si="12"/>
        <v/>
      </c>
      <c r="T19" s="24" t="str">
        <f t="shared" si="13"/>
        <v/>
      </c>
      <c r="U19" s="24" t="str">
        <f t="shared" si="14"/>
        <v/>
      </c>
      <c r="V19" s="24" t="str">
        <f t="shared" si="15"/>
        <v/>
      </c>
      <c r="W19" s="24" t="str">
        <f t="shared" si="16"/>
        <v/>
      </c>
      <c r="X19" s="24" t="str">
        <f t="shared" si="17"/>
        <v/>
      </c>
      <c r="Y19" s="24" t="str">
        <f t="shared" si="18"/>
        <v/>
      </c>
      <c r="Z19" s="24" t="str">
        <f t="shared" si="19"/>
        <v/>
      </c>
      <c r="AA19" s="24" t="str">
        <f t="shared" si="20"/>
        <v/>
      </c>
    </row>
    <row r="20" spans="1:27" x14ac:dyDescent="0.25">
      <c r="A20" s="31" t="s">
        <v>313</v>
      </c>
      <c r="B20" s="31" t="s">
        <v>312</v>
      </c>
      <c r="C20" s="31" t="s">
        <v>369</v>
      </c>
      <c r="D20" s="31" t="s">
        <v>313</v>
      </c>
      <c r="E20" s="31">
        <v>12</v>
      </c>
      <c r="F20" s="31">
        <v>1</v>
      </c>
      <c r="G20" s="31">
        <f t="shared" si="0"/>
        <v>12</v>
      </c>
      <c r="H20" s="24" t="str">
        <f t="shared" si="1"/>
        <v/>
      </c>
      <c r="I20" s="24" t="str">
        <f t="shared" si="2"/>
        <v/>
      </c>
      <c r="J20" s="24" t="str">
        <f t="shared" si="3"/>
        <v/>
      </c>
      <c r="K20" s="24" t="str">
        <f t="shared" si="4"/>
        <v/>
      </c>
      <c r="L20" s="24" t="str">
        <f t="shared" si="5"/>
        <v/>
      </c>
      <c r="M20" s="24" t="str">
        <f t="shared" si="6"/>
        <v/>
      </c>
      <c r="N20" s="24" t="str">
        <f t="shared" si="7"/>
        <v/>
      </c>
      <c r="O20" s="24" t="str">
        <f t="shared" si="8"/>
        <v/>
      </c>
      <c r="P20" s="24" t="str">
        <f t="shared" si="9"/>
        <v/>
      </c>
      <c r="Q20" s="24" t="str">
        <f t="shared" si="10"/>
        <v/>
      </c>
      <c r="R20" s="24" t="str">
        <f t="shared" si="11"/>
        <v/>
      </c>
      <c r="S20" s="24">
        <f t="shared" si="12"/>
        <v>1</v>
      </c>
      <c r="T20" s="24" t="str">
        <f t="shared" si="13"/>
        <v/>
      </c>
      <c r="U20" s="24" t="str">
        <f t="shared" si="14"/>
        <v/>
      </c>
      <c r="V20" s="24" t="str">
        <f t="shared" si="15"/>
        <v/>
      </c>
      <c r="W20" s="24" t="str">
        <f t="shared" si="16"/>
        <v/>
      </c>
      <c r="X20" s="24" t="str">
        <f t="shared" si="17"/>
        <v/>
      </c>
      <c r="Y20" s="24" t="str">
        <f t="shared" si="18"/>
        <v/>
      </c>
      <c r="Z20" s="24" t="str">
        <f t="shared" si="19"/>
        <v/>
      </c>
      <c r="AA20" s="24" t="str">
        <f t="shared" si="20"/>
        <v/>
      </c>
    </row>
    <row r="21" spans="1:27" x14ac:dyDescent="0.25">
      <c r="A21" s="31" t="s">
        <v>313</v>
      </c>
      <c r="B21" s="31" t="s">
        <v>317</v>
      </c>
      <c r="C21" s="31" t="s">
        <v>370</v>
      </c>
      <c r="D21" s="31" t="s">
        <v>313</v>
      </c>
      <c r="E21" s="31">
        <v>13</v>
      </c>
      <c r="F21" s="31">
        <v>1</v>
      </c>
      <c r="G21" s="31">
        <f t="shared" si="0"/>
        <v>13</v>
      </c>
      <c r="H21" s="24" t="str">
        <f t="shared" si="1"/>
        <v/>
      </c>
      <c r="I21" s="24" t="str">
        <f t="shared" si="2"/>
        <v/>
      </c>
      <c r="J21" s="24" t="str">
        <f t="shared" si="3"/>
        <v/>
      </c>
      <c r="K21" s="24" t="str">
        <f t="shared" si="4"/>
        <v/>
      </c>
      <c r="L21" s="24" t="str">
        <f t="shared" si="5"/>
        <v/>
      </c>
      <c r="M21" s="24" t="str">
        <f t="shared" si="6"/>
        <v/>
      </c>
      <c r="N21" s="24" t="str">
        <f t="shared" si="7"/>
        <v/>
      </c>
      <c r="O21" s="24" t="str">
        <f t="shared" si="8"/>
        <v/>
      </c>
      <c r="P21" s="24" t="str">
        <f t="shared" si="9"/>
        <v/>
      </c>
      <c r="Q21" s="24" t="str">
        <f t="shared" si="10"/>
        <v/>
      </c>
      <c r="R21" s="24" t="str">
        <f t="shared" si="11"/>
        <v/>
      </c>
      <c r="S21" s="24" t="str">
        <f t="shared" si="12"/>
        <v/>
      </c>
      <c r="T21" s="24">
        <f t="shared" si="13"/>
        <v>1</v>
      </c>
      <c r="U21" s="24" t="str">
        <f t="shared" si="14"/>
        <v/>
      </c>
      <c r="V21" s="24" t="str">
        <f t="shared" si="15"/>
        <v/>
      </c>
      <c r="W21" s="24" t="str">
        <f t="shared" si="16"/>
        <v/>
      </c>
      <c r="X21" s="24" t="str">
        <f t="shared" si="17"/>
        <v/>
      </c>
      <c r="Y21" s="24" t="str">
        <f t="shared" si="18"/>
        <v/>
      </c>
      <c r="Z21" s="24" t="str">
        <f t="shared" si="19"/>
        <v/>
      </c>
      <c r="AA21" s="24" t="str">
        <f t="shared" si="20"/>
        <v/>
      </c>
    </row>
    <row r="22" spans="1:27" x14ac:dyDescent="0.25">
      <c r="A22" s="31" t="s">
        <v>313</v>
      </c>
      <c r="B22" s="31" t="s">
        <v>321</v>
      </c>
      <c r="C22" s="31" t="s">
        <v>371</v>
      </c>
      <c r="D22" s="31" t="s">
        <v>313</v>
      </c>
      <c r="E22" s="31">
        <v>13</v>
      </c>
      <c r="F22" s="31">
        <v>1</v>
      </c>
      <c r="G22" s="31">
        <f t="shared" si="0"/>
        <v>13</v>
      </c>
      <c r="H22" s="24" t="str">
        <f t="shared" si="1"/>
        <v/>
      </c>
      <c r="I22" s="24" t="str">
        <f t="shared" si="2"/>
        <v/>
      </c>
      <c r="J22" s="24" t="str">
        <f t="shared" si="3"/>
        <v/>
      </c>
      <c r="K22" s="24" t="str">
        <f t="shared" si="4"/>
        <v/>
      </c>
      <c r="L22" s="24" t="str">
        <f t="shared" si="5"/>
        <v/>
      </c>
      <c r="M22" s="24" t="str">
        <f t="shared" si="6"/>
        <v/>
      </c>
      <c r="N22" s="24" t="str">
        <f t="shared" si="7"/>
        <v/>
      </c>
      <c r="O22" s="24" t="str">
        <f t="shared" si="8"/>
        <v/>
      </c>
      <c r="P22" s="24" t="str">
        <f t="shared" si="9"/>
        <v/>
      </c>
      <c r="Q22" s="24" t="str">
        <f t="shared" si="10"/>
        <v/>
      </c>
      <c r="R22" s="24" t="str">
        <f t="shared" si="11"/>
        <v/>
      </c>
      <c r="S22" s="24" t="str">
        <f t="shared" si="12"/>
        <v/>
      </c>
      <c r="T22" s="24">
        <f t="shared" si="13"/>
        <v>1</v>
      </c>
      <c r="U22" s="24" t="str">
        <f t="shared" si="14"/>
        <v/>
      </c>
      <c r="V22" s="24" t="str">
        <f t="shared" si="15"/>
        <v/>
      </c>
      <c r="W22" s="24" t="str">
        <f t="shared" si="16"/>
        <v/>
      </c>
      <c r="X22" s="24" t="str">
        <f t="shared" si="17"/>
        <v/>
      </c>
      <c r="Y22" s="24" t="str">
        <f t="shared" si="18"/>
        <v/>
      </c>
      <c r="Z22" s="24" t="str">
        <f t="shared" si="19"/>
        <v/>
      </c>
      <c r="AA22" s="24" t="str">
        <f t="shared" si="20"/>
        <v/>
      </c>
    </row>
    <row r="23" spans="1:27" x14ac:dyDescent="0.25">
      <c r="A23" s="31" t="s">
        <v>313</v>
      </c>
      <c r="B23" s="31" t="s">
        <v>325</v>
      </c>
      <c r="C23" s="31" t="s">
        <v>372</v>
      </c>
      <c r="D23" s="31" t="s">
        <v>313</v>
      </c>
      <c r="E23" s="31">
        <v>14</v>
      </c>
      <c r="F23" s="31">
        <v>2</v>
      </c>
      <c r="G23" s="31">
        <f t="shared" si="0"/>
        <v>15</v>
      </c>
      <c r="H23" s="24" t="str">
        <f t="shared" si="1"/>
        <v/>
      </c>
      <c r="I23" s="24" t="str">
        <f t="shared" si="2"/>
        <v/>
      </c>
      <c r="J23" s="24" t="str">
        <f t="shared" si="3"/>
        <v/>
      </c>
      <c r="K23" s="24" t="str">
        <f t="shared" si="4"/>
        <v/>
      </c>
      <c r="L23" s="24" t="str">
        <f t="shared" si="5"/>
        <v/>
      </c>
      <c r="M23" s="24" t="str">
        <f t="shared" si="6"/>
        <v/>
      </c>
      <c r="N23" s="24" t="str">
        <f t="shared" si="7"/>
        <v/>
      </c>
      <c r="O23" s="24" t="str">
        <f t="shared" si="8"/>
        <v/>
      </c>
      <c r="P23" s="24" t="str">
        <f t="shared" si="9"/>
        <v/>
      </c>
      <c r="Q23" s="24" t="str">
        <f t="shared" si="10"/>
        <v/>
      </c>
      <c r="R23" s="24" t="str">
        <f t="shared" si="11"/>
        <v/>
      </c>
      <c r="S23" s="24" t="str">
        <f t="shared" si="12"/>
        <v/>
      </c>
      <c r="T23" s="24" t="str">
        <f t="shared" si="13"/>
        <v/>
      </c>
      <c r="U23" s="24">
        <f t="shared" si="14"/>
        <v>1</v>
      </c>
      <c r="V23" s="24">
        <f t="shared" si="15"/>
        <v>1</v>
      </c>
      <c r="W23" s="24" t="str">
        <f t="shared" si="16"/>
        <v/>
      </c>
      <c r="X23" s="24" t="str">
        <f t="shared" si="17"/>
        <v/>
      </c>
      <c r="Y23" s="24" t="str">
        <f t="shared" si="18"/>
        <v/>
      </c>
      <c r="Z23" s="24" t="str">
        <f t="shared" si="19"/>
        <v/>
      </c>
      <c r="AA23" s="24" t="str">
        <f t="shared" si="20"/>
        <v/>
      </c>
    </row>
    <row r="24" spans="1:27" x14ac:dyDescent="0.25">
      <c r="A24" s="31" t="s">
        <v>313</v>
      </c>
      <c r="B24" s="31" t="s">
        <v>328</v>
      </c>
      <c r="C24" s="31" t="s">
        <v>373</v>
      </c>
      <c r="D24" s="31" t="s">
        <v>313</v>
      </c>
      <c r="E24" s="31">
        <v>16</v>
      </c>
      <c r="F24" s="31">
        <v>1</v>
      </c>
      <c r="G24" s="31">
        <f t="shared" si="0"/>
        <v>16</v>
      </c>
      <c r="H24" s="24" t="str">
        <f t="shared" si="1"/>
        <v/>
      </c>
      <c r="I24" s="24" t="str">
        <f t="shared" si="2"/>
        <v/>
      </c>
      <c r="J24" s="24" t="str">
        <f t="shared" si="3"/>
        <v/>
      </c>
      <c r="K24" s="24" t="str">
        <f t="shared" si="4"/>
        <v/>
      </c>
      <c r="L24" s="24" t="str">
        <f t="shared" si="5"/>
        <v/>
      </c>
      <c r="M24" s="24" t="str">
        <f t="shared" si="6"/>
        <v/>
      </c>
      <c r="N24" s="24" t="str">
        <f t="shared" si="7"/>
        <v/>
      </c>
      <c r="O24" s="24" t="str">
        <f t="shared" si="8"/>
        <v/>
      </c>
      <c r="P24" s="24" t="str">
        <f t="shared" si="9"/>
        <v/>
      </c>
      <c r="Q24" s="24" t="str">
        <f t="shared" si="10"/>
        <v/>
      </c>
      <c r="R24" s="24" t="str">
        <f t="shared" si="11"/>
        <v/>
      </c>
      <c r="S24" s="24" t="str">
        <f t="shared" si="12"/>
        <v/>
      </c>
      <c r="T24" s="24" t="str">
        <f t="shared" si="13"/>
        <v/>
      </c>
      <c r="U24" s="24" t="str">
        <f t="shared" si="14"/>
        <v/>
      </c>
      <c r="V24" s="24" t="str">
        <f t="shared" si="15"/>
        <v/>
      </c>
      <c r="W24" s="24">
        <f t="shared" si="16"/>
        <v>1</v>
      </c>
      <c r="X24" s="24" t="str">
        <f t="shared" si="17"/>
        <v/>
      </c>
      <c r="Y24" s="24" t="str">
        <f t="shared" si="18"/>
        <v/>
      </c>
      <c r="Z24" s="24" t="str">
        <f t="shared" si="19"/>
        <v/>
      </c>
      <c r="AA24" s="24" t="str">
        <f t="shared" si="20"/>
        <v/>
      </c>
    </row>
    <row r="25" spans="1:27" x14ac:dyDescent="0.25">
      <c r="A25" s="32" t="s">
        <v>332</v>
      </c>
      <c r="B25" s="32" t="s">
        <v>331</v>
      </c>
      <c r="C25" s="32" t="s">
        <v>374</v>
      </c>
      <c r="D25" s="32" t="s">
        <v>332</v>
      </c>
      <c r="E25" s="32">
        <v>17</v>
      </c>
      <c r="F25" s="32">
        <v>1</v>
      </c>
      <c r="G25" s="32">
        <f t="shared" si="0"/>
        <v>17</v>
      </c>
      <c r="H25" s="24" t="str">
        <f t="shared" si="1"/>
        <v/>
      </c>
      <c r="I25" s="24" t="str">
        <f t="shared" si="2"/>
        <v/>
      </c>
      <c r="J25" s="24" t="str">
        <f t="shared" si="3"/>
        <v/>
      </c>
      <c r="K25" s="24" t="str">
        <f t="shared" si="4"/>
        <v/>
      </c>
      <c r="L25" s="24" t="str">
        <f t="shared" si="5"/>
        <v/>
      </c>
      <c r="M25" s="24" t="str">
        <f t="shared" si="6"/>
        <v/>
      </c>
      <c r="N25" s="24" t="str">
        <f t="shared" si="7"/>
        <v/>
      </c>
      <c r="O25" s="24" t="str">
        <f t="shared" si="8"/>
        <v/>
      </c>
      <c r="P25" s="24" t="str">
        <f t="shared" si="9"/>
        <v/>
      </c>
      <c r="Q25" s="24" t="str">
        <f t="shared" si="10"/>
        <v/>
      </c>
      <c r="R25" s="24" t="str">
        <f t="shared" si="11"/>
        <v/>
      </c>
      <c r="S25" s="24" t="str">
        <f t="shared" si="12"/>
        <v/>
      </c>
      <c r="T25" s="24" t="str">
        <f t="shared" si="13"/>
        <v/>
      </c>
      <c r="U25" s="24" t="str">
        <f t="shared" si="14"/>
        <v/>
      </c>
      <c r="V25" s="24" t="str">
        <f t="shared" si="15"/>
        <v/>
      </c>
      <c r="W25" s="24" t="str">
        <f t="shared" si="16"/>
        <v/>
      </c>
      <c r="X25" s="24">
        <f t="shared" si="17"/>
        <v>1</v>
      </c>
      <c r="Y25" s="24" t="str">
        <f t="shared" si="18"/>
        <v/>
      </c>
      <c r="Z25" s="24" t="str">
        <f t="shared" si="19"/>
        <v/>
      </c>
      <c r="AA25" s="24" t="str">
        <f t="shared" si="20"/>
        <v/>
      </c>
    </row>
    <row r="26" spans="1:27" x14ac:dyDescent="0.25">
      <c r="A26" s="32" t="s">
        <v>332</v>
      </c>
      <c r="B26" s="32" t="s">
        <v>335</v>
      </c>
      <c r="C26" s="32" t="s">
        <v>375</v>
      </c>
      <c r="D26" s="32" t="s">
        <v>332</v>
      </c>
      <c r="E26" s="32">
        <v>18</v>
      </c>
      <c r="F26" s="32">
        <v>1</v>
      </c>
      <c r="G26" s="32">
        <f t="shared" si="0"/>
        <v>18</v>
      </c>
      <c r="H26" s="24" t="str">
        <f t="shared" si="1"/>
        <v/>
      </c>
      <c r="I26" s="24" t="str">
        <f t="shared" si="2"/>
        <v/>
      </c>
      <c r="J26" s="24" t="str">
        <f t="shared" si="3"/>
        <v/>
      </c>
      <c r="K26" s="24" t="str">
        <f t="shared" si="4"/>
        <v/>
      </c>
      <c r="L26" s="24" t="str">
        <f t="shared" si="5"/>
        <v/>
      </c>
      <c r="M26" s="24" t="str">
        <f t="shared" si="6"/>
        <v/>
      </c>
      <c r="N26" s="24" t="str">
        <f t="shared" si="7"/>
        <v/>
      </c>
      <c r="O26" s="24" t="str">
        <f t="shared" si="8"/>
        <v/>
      </c>
      <c r="P26" s="24" t="str">
        <f t="shared" si="9"/>
        <v/>
      </c>
      <c r="Q26" s="24" t="str">
        <f t="shared" si="10"/>
        <v/>
      </c>
      <c r="R26" s="24" t="str">
        <f t="shared" si="11"/>
        <v/>
      </c>
      <c r="S26" s="24" t="str">
        <f t="shared" si="12"/>
        <v/>
      </c>
      <c r="T26" s="24" t="str">
        <f t="shared" si="13"/>
        <v/>
      </c>
      <c r="U26" s="24" t="str">
        <f t="shared" si="14"/>
        <v/>
      </c>
      <c r="V26" s="24" t="str">
        <f t="shared" si="15"/>
        <v/>
      </c>
      <c r="W26" s="24" t="str">
        <f t="shared" si="16"/>
        <v/>
      </c>
      <c r="X26" s="24" t="str">
        <f t="shared" si="17"/>
        <v/>
      </c>
      <c r="Y26" s="24">
        <f t="shared" si="18"/>
        <v>1</v>
      </c>
      <c r="Z26" s="24" t="str">
        <f t="shared" si="19"/>
        <v/>
      </c>
      <c r="AA26" s="24" t="str">
        <f t="shared" si="20"/>
        <v/>
      </c>
    </row>
    <row r="27" spans="1:27" x14ac:dyDescent="0.25">
      <c r="A27" s="32" t="s">
        <v>332</v>
      </c>
      <c r="B27" s="32" t="s">
        <v>338</v>
      </c>
      <c r="C27" s="32" t="s">
        <v>376</v>
      </c>
      <c r="D27" s="32" t="s">
        <v>332</v>
      </c>
      <c r="E27" s="32">
        <v>19</v>
      </c>
      <c r="F27" s="32">
        <v>2</v>
      </c>
      <c r="G27" s="32">
        <f t="shared" si="0"/>
        <v>20</v>
      </c>
      <c r="H27" s="24" t="str">
        <f t="shared" si="1"/>
        <v/>
      </c>
      <c r="I27" s="24" t="str">
        <f t="shared" si="2"/>
        <v/>
      </c>
      <c r="J27" s="24" t="str">
        <f t="shared" si="3"/>
        <v/>
      </c>
      <c r="K27" s="24" t="str">
        <f t="shared" si="4"/>
        <v/>
      </c>
      <c r="L27" s="24" t="str">
        <f t="shared" si="5"/>
        <v/>
      </c>
      <c r="M27" s="24" t="str">
        <f t="shared" si="6"/>
        <v/>
      </c>
      <c r="N27" s="24" t="str">
        <f t="shared" si="7"/>
        <v/>
      </c>
      <c r="O27" s="24" t="str">
        <f t="shared" si="8"/>
        <v/>
      </c>
      <c r="P27" s="24" t="str">
        <f t="shared" si="9"/>
        <v/>
      </c>
      <c r="Q27" s="24" t="str">
        <f t="shared" si="10"/>
        <v/>
      </c>
      <c r="R27" s="24" t="str">
        <f t="shared" si="11"/>
        <v/>
      </c>
      <c r="S27" s="24" t="str">
        <f t="shared" si="12"/>
        <v/>
      </c>
      <c r="T27" s="24" t="str">
        <f t="shared" si="13"/>
        <v/>
      </c>
      <c r="U27" s="24" t="str">
        <f t="shared" si="14"/>
        <v/>
      </c>
      <c r="V27" s="24" t="str">
        <f t="shared" si="15"/>
        <v/>
      </c>
      <c r="W27" s="24" t="str">
        <f t="shared" si="16"/>
        <v/>
      </c>
      <c r="X27" s="24" t="str">
        <f t="shared" si="17"/>
        <v/>
      </c>
      <c r="Y27" s="24" t="str">
        <f t="shared" si="18"/>
        <v/>
      </c>
      <c r="Z27" s="24">
        <f t="shared" si="19"/>
        <v>1</v>
      </c>
      <c r="AA27" s="24">
        <f t="shared" si="20"/>
        <v>1</v>
      </c>
    </row>
  </sheetData>
  <mergeCells count="2">
    <mergeCell ref="A2:F2"/>
    <mergeCell ref="A1:AA1"/>
  </mergeCells>
  <conditionalFormatting sqref="H5:AA27">
    <cfRule type="cellIs" dxfId="0" priority="1" operator="equal">
      <formula>1</formula>
    </cfRule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24" customWidth="1"/>
    <col min="4" max="4" width="30" customWidth="1"/>
    <col min="5" max="5" width="10" customWidth="1"/>
    <col min="6" max="6" width="12" customWidth="1"/>
  </cols>
  <sheetData>
    <row r="1" spans="1:6" ht="19.5" x14ac:dyDescent="0.25">
      <c r="A1" s="39" t="s">
        <v>377</v>
      </c>
      <c r="B1" s="34"/>
      <c r="C1" s="34"/>
      <c r="D1" s="34"/>
      <c r="E1" s="34"/>
      <c r="F1" s="34"/>
    </row>
    <row r="3" spans="1:6" x14ac:dyDescent="0.25">
      <c r="A3" s="14" t="s">
        <v>253</v>
      </c>
      <c r="B3" s="14" t="s">
        <v>378</v>
      </c>
      <c r="C3" s="14" t="s">
        <v>379</v>
      </c>
      <c r="D3" s="14" t="s">
        <v>380</v>
      </c>
      <c r="E3" s="14" t="s">
        <v>381</v>
      </c>
      <c r="F3" s="14" t="s">
        <v>382</v>
      </c>
    </row>
    <row r="4" spans="1:6" ht="45" x14ac:dyDescent="0.25">
      <c r="A4" s="2" t="s">
        <v>383</v>
      </c>
      <c r="B4" s="2" t="s">
        <v>384</v>
      </c>
      <c r="C4" s="2" t="s">
        <v>385</v>
      </c>
      <c r="D4" s="2" t="s">
        <v>386</v>
      </c>
      <c r="E4" s="6" t="s">
        <v>387</v>
      </c>
      <c r="F4" s="2" t="s">
        <v>63</v>
      </c>
    </row>
    <row r="5" spans="1:6" ht="30" x14ac:dyDescent="0.25">
      <c r="A5" s="2" t="s">
        <v>388</v>
      </c>
      <c r="B5" s="2" t="s">
        <v>389</v>
      </c>
      <c r="C5" s="2" t="s">
        <v>390</v>
      </c>
      <c r="D5" s="2" t="s">
        <v>391</v>
      </c>
      <c r="E5" s="2" t="s">
        <v>392</v>
      </c>
      <c r="F5" s="2" t="s">
        <v>63</v>
      </c>
    </row>
    <row r="6" spans="1:6" ht="30" x14ac:dyDescent="0.25">
      <c r="A6" s="2" t="s">
        <v>393</v>
      </c>
      <c r="B6" s="2" t="s">
        <v>394</v>
      </c>
      <c r="C6" s="2" t="s">
        <v>395</v>
      </c>
      <c r="D6" s="2" t="s">
        <v>396</v>
      </c>
      <c r="E6" s="6" t="s">
        <v>387</v>
      </c>
      <c r="F6" s="2" t="s">
        <v>63</v>
      </c>
    </row>
    <row r="7" spans="1:6" ht="30" x14ac:dyDescent="0.25">
      <c r="A7" s="2" t="s">
        <v>397</v>
      </c>
      <c r="B7" s="2" t="s">
        <v>398</v>
      </c>
      <c r="C7" s="2" t="s">
        <v>399</v>
      </c>
      <c r="D7" s="2" t="s">
        <v>400</v>
      </c>
      <c r="E7" s="2" t="s">
        <v>392</v>
      </c>
      <c r="F7" s="2" t="s">
        <v>63</v>
      </c>
    </row>
    <row r="8" spans="1:6" ht="30" x14ac:dyDescent="0.25">
      <c r="A8" s="2" t="s">
        <v>401</v>
      </c>
      <c r="B8" s="2" t="s">
        <v>402</v>
      </c>
      <c r="C8" s="2" t="s">
        <v>403</v>
      </c>
      <c r="D8" s="2" t="s">
        <v>404</v>
      </c>
      <c r="E8" s="6" t="s">
        <v>387</v>
      </c>
      <c r="F8" s="2" t="s">
        <v>63</v>
      </c>
    </row>
    <row r="9" spans="1:6" ht="30" x14ac:dyDescent="0.25">
      <c r="A9" s="2" t="s">
        <v>405</v>
      </c>
      <c r="B9" s="2" t="s">
        <v>406</v>
      </c>
      <c r="C9" s="2" t="s">
        <v>407</v>
      </c>
      <c r="D9" s="2" t="s">
        <v>408</v>
      </c>
      <c r="E9" s="2" t="s">
        <v>392</v>
      </c>
      <c r="F9" s="2" t="s">
        <v>63</v>
      </c>
    </row>
  </sheetData>
  <mergeCells count="1">
    <mergeCell ref="A1:F1"/>
  </mergeCells>
  <dataValidations count="1">
    <dataValidation type="list" sqref="F4:F9" xr:uid="{00000000-0002-0000-0500-000000000000}">
      <formula1>"Pendiente,OK"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00_Resumen</vt:lpstr>
      <vt:lpstr>01_Mapa_Pines</vt:lpstr>
      <vt:lpstr>02_Servos_PCA9685</vt:lpstr>
      <vt:lpstr>03_Checklist</vt:lpstr>
      <vt:lpstr>04_Gantt</vt:lpstr>
      <vt:lpstr>05_Riesgos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Cabroc</cp:lastModifiedBy>
  <dcterms:created xsi:type="dcterms:W3CDTF">2026-03-23T01:00:46Z</dcterms:created>
  <dcterms:modified xsi:type="dcterms:W3CDTF">2026-04-22T01:41:01Z</dcterms:modified>
</cp:coreProperties>
</file>